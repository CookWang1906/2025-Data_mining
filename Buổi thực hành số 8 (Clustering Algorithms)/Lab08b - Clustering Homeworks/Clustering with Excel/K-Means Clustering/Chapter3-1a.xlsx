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activeTab="1"/>
  </bookViews>
  <sheets>
    <sheet name="1" sheetId="1" r:id="rId1"/>
    <sheet name="2" sheetId="2" r:id="rId2"/>
    <sheet name="3" sheetId="4" r:id="rId3"/>
    <sheet name="4" sheetId="5" r:id="rId4"/>
    <sheet name="5" sheetId="6" r:id="rId5"/>
    <sheet name="6" sheetId="7" r:id="rId6"/>
    <sheet name="Pattern Observation (Tham khảo)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<sst xmlns="http://schemas.openxmlformats.org/spreadsheetml/2006/main" count="556" uniqueCount="65">
  <si>
    <t>Mean</t>
  </si>
  <si>
    <t>Distances</t>
  </si>
  <si>
    <t>Country</t>
  </si>
  <si>
    <t>Murder</t>
  </si>
  <si>
    <t>Assault</t>
  </si>
  <si>
    <t>UrbanPop</t>
  </si>
  <si>
    <t>Rape</t>
  </si>
  <si>
    <t>Cluster</t>
  </si>
  <si>
    <t>C1</t>
  </si>
  <si>
    <t>C2</t>
  </si>
  <si>
    <t>C3</t>
  </si>
  <si>
    <t>C4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</si>
  <si>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</si>
  <si>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</si>
  <si>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</si>
  <si>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</si>
  <si>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</si>
  <si>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</si>
  <si>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</si>
  <si>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</si>
  <si>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</si>
  <si>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</si>
  <si>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</si>
  <si>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</si>
  <si>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</si>
  <si>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</si>
  <si>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</si>
  <si>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</si>
  <si>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</si>
  <si>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</si>
  <si>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</si>
  <si>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</si>
  <si>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</si>
  <si>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</si>
  <si>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</si>
  <si>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</si>
  <si>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</si>
  <si>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</si>
  <si>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</si>
  <si>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</si>
  <si>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</si>
  <si>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</si>
  <si>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</si>
  <si>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</si>
  <si>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</si>
  <si>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</si>
  <si>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</si>
  <si>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</si>
  <si>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</si>
  <si>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</si>
  <si>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</si>
  <si>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</si>
  <si>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</si>
  <si>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</si>
  <si>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</si>
  <si>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</si>
  <si>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</si>
  <si>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</si>
  <si>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</si>
  <si>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</si>
  <si>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</si>
  <si>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</si>
  <si>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Old cluster</t>
  </si>
  <si>
    <t>difference</t>
  </si>
  <si>
    <t>convergence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</si>
</sst>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231F20"/>
      <name val="TheSansMonoConNorm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590550</xdr:colOff>
      <xdr:row>8</xdr:row>
      <xdr:rowOff>66675</xdr:rowOff>
    </xdr:from>
    <xdr:to>
      <xdr:col>15</xdr:col>
      <xdr:colOff>200025</xdr:colOff>
      <xdr:row>16</xdr:row>
      <xdr:rowOff>123825</xdr:rowOff>
    </xdr:to>
    <xdr:sp>
      <xdr:nvSpPr>
        <xdr:cNvPr id="2" name="TextBox 1"/>
        <xdr:cNvSpPr txBox="1"/>
      </xdr:nvSpPr>
      <xdr:spPr>
        <a:xfrm>
          <a:off x="4238625" y="1590675"/>
          <a:ext cx="5010150" cy="158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My observation:</a:t>
          </a:r>
          <a:r>
            <a:rPr lang="en-US" sz="1100" baseline="0"/>
            <a:t> </a:t>
          </a:r>
          <a:endParaRPr lang="en-US" sz="1100" baseline="0"/>
        </a:p>
        <a:p>
          <a:endParaRPr lang="en-US" sz="1100" baseline="0"/>
        </a:p>
        <a:p>
          <a:r>
            <a:rPr lang="en-US" sz="1100" baseline="0"/>
            <a:t>1. C1 has the least averages for all four attributes (Murder, Assault, Urban population, and Rape)</a:t>
          </a:r>
          <a:endParaRPr lang="en-US" sz="1100" baseline="0"/>
        </a:p>
        <a:p>
          <a:r>
            <a:rPr lang="en-US" sz="1100" baseline="0"/>
            <a:t>2. From C1, C2, C3 and C4, the crime rates of Murder, Assault and Rape go up steadily.</a:t>
          </a:r>
          <a:endParaRPr lang="en-US" sz="1100" baseline="0"/>
        </a:p>
        <a:p>
          <a:r>
            <a:rPr lang="en-US" sz="1100" baseline="0"/>
            <a:t>3. Urban Pop does not seem to be as determinant as other attributes in this clustering process.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workbookViewId="0">
      <selection activeCell="G30" sqref="G30"/>
    </sheetView>
  </sheetViews>
  <sheetFormatPr defaultColWidth="9" defaultRowHeight="15"/>
  <cols>
    <col min="13" max="16" width="14.5714285714286"/>
  </cols>
  <sheetData>
    <row r="1" spans="7:16">
      <c r="G1" s="4" t="s">
        <v>0</v>
      </c>
      <c r="H1" s="4"/>
      <c r="I1" s="4"/>
      <c r="J1" s="4"/>
      <c r="K1" s="4"/>
      <c r="M1" s="4" t="s">
        <v>1</v>
      </c>
      <c r="N1" s="4"/>
      <c r="O1" s="4"/>
      <c r="P1" s="4"/>
    </row>
    <row r="2" spans="1:17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M2" t="s">
        <v>8</v>
      </c>
      <c r="N2" t="s">
        <v>9</v>
      </c>
      <c r="O2" t="s">
        <v>10</v>
      </c>
      <c r="P2" t="s">
        <v>11</v>
      </c>
      <c r="Q2" t="s">
        <v>7</v>
      </c>
    </row>
    <row r="3" spans="1:17">
      <c r="A3" t="s">
        <v>12</v>
      </c>
      <c r="B3">
        <v>12</v>
      </c>
      <c r="C3">
        <v>193</v>
      </c>
      <c r="D3">
        <v>51</v>
      </c>
      <c r="E3">
        <v>21</v>
      </c>
      <c r="G3" t="s">
        <v>3</v>
      </c>
      <c r="H3">
        <v>2.3</v>
      </c>
      <c r="I3">
        <v>5.6</v>
      </c>
      <c r="J3">
        <v>11</v>
      </c>
      <c r="K3">
        <v>15</v>
      </c>
      <c r="M3" s="5" cm="1">
        <f t="array" ref="M3">SQRT(SUMXMY2($B3:$E3,H$3:H$6))</f>
        <v>183.271110653043</v>
      </c>
      <c r="N3" s="5" cm="1">
        <f t="array" ref="N3">SQRT(SUMXMY2($B3:$E3,I$3:I$6))</f>
        <v>143.95471510166</v>
      </c>
      <c r="O3" s="5" cm="1">
        <f t="array" ref="O3">SQRT(SUMXMY2($B3:$E3,J$3:J$6))</f>
        <v>93.0967238950974</v>
      </c>
      <c r="P3" s="5" cm="1">
        <f t="array" ref="P3">SQRT(SUMXMY2($B3:$E3,K$3:K$6))</f>
        <v>35.4964786985977</v>
      </c>
      <c r="Q3" t="str">
        <f>INDEX($M$2:$P$2,1,MATCH(MIN(M3:P3),M3:P3,0))</f>
        <v>C4</v>
      </c>
    </row>
    <row r="4" spans="1:17">
      <c r="A4" t="s">
        <v>13</v>
      </c>
      <c r="B4">
        <v>9</v>
      </c>
      <c r="C4">
        <v>222</v>
      </c>
      <c r="D4">
        <v>39</v>
      </c>
      <c r="E4">
        <v>42</v>
      </c>
      <c r="G4" t="s">
        <v>4</v>
      </c>
      <c r="H4">
        <v>15</v>
      </c>
      <c r="I4">
        <v>53</v>
      </c>
      <c r="J4">
        <v>100</v>
      </c>
      <c r="K4">
        <v>200</v>
      </c>
      <c r="M4" s="5" cm="1">
        <f t="array" ref="M4">SQRT(SUMXMY2($B4:$E4,H$3:H$6))</f>
        <v>211.576700040435</v>
      </c>
      <c r="N4" s="5" cm="1">
        <f t="array" ref="N4">SQRT(SUMXMY2($B4:$E4,I$3:I$6))</f>
        <v>173.082523670069</v>
      </c>
      <c r="O4" s="5" cm="1">
        <f t="array" ref="O4">SQRT(SUMXMY2($B4:$E4,J$3:J$6))</f>
        <v>123.685083983478</v>
      </c>
      <c r="P4" s="5" cm="1">
        <f t="array" ref="P4">SQRT(SUMXMY2($B4:$E4,K$3:K$6))</f>
        <v>46.9574275274956</v>
      </c>
      <c r="Q4" t="str">
        <f t="shared" ref="Q4:Q35" si="0">INDEX($M$2:$P$2,1,MATCH(MIN(M4:P4),M4:P4,0))</f>
        <v>C4</v>
      </c>
    </row>
    <row r="5" spans="1:17">
      <c r="A5" t="s">
        <v>14</v>
      </c>
      <c r="B5">
        <v>6</v>
      </c>
      <c r="C5">
        <v>226</v>
      </c>
      <c r="D5">
        <v>72</v>
      </c>
      <c r="E5">
        <v>30</v>
      </c>
      <c r="G5" t="s">
        <v>5</v>
      </c>
      <c r="H5">
        <v>9.9</v>
      </c>
      <c r="I5">
        <v>20</v>
      </c>
      <c r="J5">
        <v>50</v>
      </c>
      <c r="K5">
        <v>80</v>
      </c>
      <c r="M5" s="5" cm="1">
        <f t="array" ref="M5">SQRT(SUMXMY2($B5:$E5,H$3:H$6))</f>
        <v>220.887075221707</v>
      </c>
      <c r="N5" s="5" cm="1">
        <f t="array" ref="N5">SQRT(SUMXMY2($B5:$E5,I$3:I$6))</f>
        <v>181.750268225387</v>
      </c>
      <c r="O5" s="5" cm="1">
        <f t="array" ref="O5">SQRT(SUMXMY2($B5:$E5,J$3:J$6))</f>
        <v>128.101522239199</v>
      </c>
      <c r="P5" s="5" cm="1">
        <f t="array" ref="P5">SQRT(SUMXMY2($B5:$E5,K$3:K$6))</f>
        <v>30.347981810987</v>
      </c>
      <c r="Q5" t="str">
        <f t="shared" si="0"/>
        <v>C4</v>
      </c>
    </row>
    <row r="6" spans="1:17">
      <c r="A6" t="s">
        <v>15</v>
      </c>
      <c r="B6">
        <v>8</v>
      </c>
      <c r="C6">
        <v>177</v>
      </c>
      <c r="D6">
        <v>50</v>
      </c>
      <c r="E6">
        <v>17</v>
      </c>
      <c r="G6" t="s">
        <v>6</v>
      </c>
      <c r="H6">
        <v>10</v>
      </c>
      <c r="I6">
        <v>10</v>
      </c>
      <c r="J6">
        <v>25</v>
      </c>
      <c r="K6">
        <v>40</v>
      </c>
      <c r="M6" s="5" cm="1">
        <f t="array" ref="M6">SQRT(SUMXMY2($B6:$E6,H$3:H$6))</f>
        <v>167.133180428065</v>
      </c>
      <c r="N6" s="5" cm="1">
        <f t="array" ref="N6">SQRT(SUMXMY2($B6:$E6,I$3:I$6))</f>
        <v>127.791862025717</v>
      </c>
      <c r="O6" s="5" cm="1">
        <f t="array" ref="O6">SQRT(SUMXMY2($B6:$E6,J$3:J$6))</f>
        <v>77.4725757929863</v>
      </c>
      <c r="P6" s="5" cm="1">
        <f t="array" ref="P6">SQRT(SUMXMY2($B6:$E6,K$3:K$6))</f>
        <v>44.7995535692042</v>
      </c>
      <c r="Q6" t="str">
        <f t="shared" si="0"/>
        <v>C4</v>
      </c>
    </row>
    <row r="7" spans="1:17">
      <c r="A7" t="s">
        <v>16</v>
      </c>
      <c r="B7">
        <v>7</v>
      </c>
      <c r="C7">
        <v>235</v>
      </c>
      <c r="D7">
        <v>86</v>
      </c>
      <c r="E7">
        <v>39</v>
      </c>
      <c r="M7" s="5" cm="1">
        <f t="array" ref="M7">SQRT(SUMXMY2($B7:$E7,H$3:H$6))</f>
        <v>234.636527420604</v>
      </c>
      <c r="N7" s="5" cm="1">
        <f t="array" ref="N7">SQRT(SUMXMY2($B7:$E7,I$3:I$6))</f>
        <v>195.762509178852</v>
      </c>
      <c r="O7" s="5" cm="1">
        <f t="array" ref="O7">SQRT(SUMXMY2($B7:$E7,J$3:J$6))</f>
        <v>140.474196918865</v>
      </c>
      <c r="P7" s="5" cm="1">
        <f t="array" ref="P7">SQRT(SUMXMY2($B7:$E7,K$3:K$6))</f>
        <v>36.4142829120662</v>
      </c>
      <c r="Q7" t="str">
        <f t="shared" si="0"/>
        <v>C4</v>
      </c>
    </row>
    <row r="8" spans="1:17">
      <c r="A8" t="s">
        <v>17</v>
      </c>
      <c r="B8">
        <v>5</v>
      </c>
      <c r="C8">
        <v>170</v>
      </c>
      <c r="D8">
        <v>78</v>
      </c>
      <c r="E8">
        <v>37</v>
      </c>
      <c r="M8" s="5" cm="1">
        <f t="array" ref="M8">SQRT(SUMXMY2($B8:$E8,H$3:H$6))</f>
        <v>171.461074299679</v>
      </c>
      <c r="N8" s="5" cm="1">
        <f t="array" ref="N8">SQRT(SUMXMY2($B8:$E8,I$3:I$6))</f>
        <v>133.350515559558</v>
      </c>
      <c r="O8" s="5" cm="1">
        <f t="array" ref="O8">SQRT(SUMXMY2($B8:$E8,J$3:J$6))</f>
        <v>76.5767588763066</v>
      </c>
      <c r="P8" s="5" cm="1">
        <f t="array" ref="P8">SQRT(SUMXMY2($B8:$E8,K$3:K$6))</f>
        <v>31.8276609256791</v>
      </c>
      <c r="Q8" t="str">
        <f t="shared" si="0"/>
        <v>C4</v>
      </c>
    </row>
    <row r="9" spans="1:17">
      <c r="A9" t="s">
        <v>18</v>
      </c>
      <c r="B9">
        <v>0</v>
      </c>
      <c r="C9">
        <v>35</v>
      </c>
      <c r="D9">
        <v>75</v>
      </c>
      <c r="E9">
        <v>7</v>
      </c>
      <c r="M9" s="5" cm="1">
        <f t="array" ref="M9">SQRT(SUMXMY2($B9:$E9,H$3:H$6))</f>
        <v>68.2077708182873</v>
      </c>
      <c r="N9" s="5" cm="1">
        <f t="array" ref="N9">SQRT(SUMXMY2($B9:$E9,I$3:I$6))</f>
        <v>58.2182102095212</v>
      </c>
      <c r="O9" s="5" cm="1">
        <f t="array" ref="O9">SQRT(SUMXMY2($B9:$E9,J$3:J$6))</f>
        <v>72.7667506489056</v>
      </c>
      <c r="P9" s="5" cm="1">
        <f t="array" ref="P9">SQRT(SUMXMY2($B9:$E9,K$3:K$6))</f>
        <v>169.008875506584</v>
      </c>
      <c r="Q9" t="str">
        <f t="shared" si="0"/>
        <v>C2</v>
      </c>
    </row>
    <row r="10" spans="1:17">
      <c r="A10" t="s">
        <v>19</v>
      </c>
      <c r="B10">
        <v>4</v>
      </c>
      <c r="C10">
        <v>198</v>
      </c>
      <c r="D10">
        <v>70</v>
      </c>
      <c r="E10">
        <v>15</v>
      </c>
      <c r="M10" s="5" cm="1">
        <f t="array" ref="M10">SQRT(SUMXMY2($B10:$E10,H$3:H$6))</f>
        <v>192.688608900474</v>
      </c>
      <c r="N10" s="5" cm="1">
        <f t="array" ref="N10">SQRT(SUMXMY2($B10:$E10,I$3:I$6))</f>
        <v>153.468433236285</v>
      </c>
      <c r="O10" s="5" cm="1">
        <f t="array" ref="O10">SQRT(SUMXMY2($B10:$E10,J$3:J$6))</f>
        <v>100.762096048068</v>
      </c>
      <c r="P10" s="5" cm="1">
        <f t="array" ref="P10">SQRT(SUMXMY2($B10:$E10,K$3:K$6))</f>
        <v>29.1547594742265</v>
      </c>
      <c r="Q10" t="str">
        <f t="shared" si="0"/>
        <v>C4</v>
      </c>
    </row>
    <row r="11" spans="1:17">
      <c r="A11" t="s">
        <v>20</v>
      </c>
      <c r="B11">
        <v>13</v>
      </c>
      <c r="C11">
        <v>259</v>
      </c>
      <c r="D11">
        <v>74</v>
      </c>
      <c r="E11">
        <v>30</v>
      </c>
      <c r="M11" s="5" cm="1">
        <f t="array" ref="M11">SQRT(SUMXMY2($B11:$E11,H$3:H$6))</f>
        <v>253.296861409691</v>
      </c>
      <c r="N11" s="5" cm="1">
        <f t="array" ref="N11">SQRT(SUMXMY2($B11:$E11,I$3:I$6))</f>
        <v>214.025138710386</v>
      </c>
      <c r="O11" s="5" cm="1">
        <f t="array" ref="O11">SQRT(SUMXMY2($B11:$E11,J$3:J$6))</f>
        <v>160.891267631279</v>
      </c>
      <c r="P11" s="5" cm="1">
        <f t="array" ref="P11">SQRT(SUMXMY2($B11:$E11,K$3:K$6))</f>
        <v>60.1747455333215</v>
      </c>
      <c r="Q11" t="str">
        <f t="shared" si="0"/>
        <v>C4</v>
      </c>
    </row>
    <row r="12" spans="1:17">
      <c r="A12" t="s">
        <v>21</v>
      </c>
      <c r="B12">
        <v>15</v>
      </c>
      <c r="C12">
        <v>136</v>
      </c>
      <c r="D12">
        <v>52</v>
      </c>
      <c r="E12">
        <v>24</v>
      </c>
      <c r="M12" s="5" cm="1">
        <f t="array" ref="M12">SQRT(SUMXMY2($B12:$E12,H$3:H$6))</f>
        <v>129.501737440082</v>
      </c>
      <c r="N12" s="5" cm="1">
        <f t="array" ref="N12">SQRT(SUMXMY2($B12:$E12,I$3:I$6))</f>
        <v>90.5392732464758</v>
      </c>
      <c r="O12" s="5" cm="1">
        <f t="array" ref="O12">SQRT(SUMXMY2($B12:$E12,J$3:J$6))</f>
        <v>36.2904946232481</v>
      </c>
      <c r="P12" s="5" cm="1">
        <f t="array" ref="P12">SQRT(SUMXMY2($B12:$E12,K$3:K$6))</f>
        <v>71.6658914686757</v>
      </c>
      <c r="Q12" t="str">
        <f t="shared" si="0"/>
        <v>C3</v>
      </c>
    </row>
    <row r="13" spans="1:17">
      <c r="A13" t="s">
        <v>22</v>
      </c>
      <c r="B13">
        <v>5</v>
      </c>
      <c r="C13">
        <v>32</v>
      </c>
      <c r="D13">
        <v>82</v>
      </c>
      <c r="E13">
        <v>17</v>
      </c>
      <c r="M13" s="5" cm="1">
        <f t="array" ref="M13">SQRT(SUMXMY2($B13:$E13,H$3:H$6))</f>
        <v>74.4560272912811</v>
      </c>
      <c r="N13" s="5" cm="1">
        <f t="array" ref="N13">SQRT(SUMXMY2($B13:$E13,I$3:I$6))</f>
        <v>65.8358564917325</v>
      </c>
      <c r="O13" s="5" cm="1">
        <f t="array" ref="O13">SQRT(SUMXMY2($B13:$E13,J$3:J$6))</f>
        <v>75.8155656840995</v>
      </c>
      <c r="P13" s="5" cm="1">
        <f t="array" ref="P13">SQRT(SUMXMY2($B13:$E13,K$3:K$6))</f>
        <v>169.873482333176</v>
      </c>
      <c r="Q13" t="str">
        <f t="shared" si="0"/>
        <v>C2</v>
      </c>
    </row>
    <row r="14" spans="1:17">
      <c r="A14" t="s">
        <v>23</v>
      </c>
      <c r="B14">
        <v>0</v>
      </c>
      <c r="C14">
        <v>54</v>
      </c>
      <c r="D14">
        <v>47</v>
      </c>
      <c r="E14">
        <v>12</v>
      </c>
      <c r="M14" s="5" cm="1">
        <f t="array" ref="M14">SQRT(SUMXMY2($B14:$E14,H$3:H$6))</f>
        <v>53.9138201206333</v>
      </c>
      <c r="N14" s="5" cm="1">
        <f t="array" ref="N14">SQRT(SUMXMY2($B14:$E14,I$3:I$6))</f>
        <v>27.6651405201564</v>
      </c>
      <c r="O14" s="5" cm="1">
        <f t="array" ref="O14">SQRT(SUMXMY2($B14:$E14,J$3:J$6))</f>
        <v>49.1426495012225</v>
      </c>
      <c r="P14" s="5" cm="1">
        <f t="array" ref="P14">SQRT(SUMXMY2($B14:$E14,K$3:K$6))</f>
        <v>153.016338996854</v>
      </c>
      <c r="Q14" t="str">
        <f t="shared" si="0"/>
        <v>C2</v>
      </c>
    </row>
    <row r="15" spans="1:17">
      <c r="A15" t="s">
        <v>24</v>
      </c>
      <c r="B15">
        <v>10</v>
      </c>
      <c r="C15">
        <v>218</v>
      </c>
      <c r="D15">
        <v>79</v>
      </c>
      <c r="E15">
        <v>20</v>
      </c>
      <c r="M15" s="5" cm="1">
        <f t="array" ref="M15">SQRT(SUMXMY2($B15:$E15,H$3:H$6))</f>
        <v>214.809450443876</v>
      </c>
      <c r="N15" s="5" cm="1">
        <f t="array" ref="N15">SQRT(SUMXMY2($B15:$E15,I$3:I$6))</f>
        <v>175.57152388699</v>
      </c>
      <c r="O15" s="5" cm="1">
        <f t="array" ref="O15">SQRT(SUMXMY2($B15:$E15,J$3:J$6))</f>
        <v>121.618255208665</v>
      </c>
      <c r="P15" s="5" cm="1">
        <f t="array" ref="P15">SQRT(SUMXMY2($B15:$E15,K$3:K$6))</f>
        <v>27.3861278752583</v>
      </c>
      <c r="Q15" t="str">
        <f t="shared" si="0"/>
        <v>C4</v>
      </c>
    </row>
    <row r="16" spans="1:17">
      <c r="A16" t="s">
        <v>25</v>
      </c>
      <c r="B16">
        <v>7</v>
      </c>
      <c r="C16">
        <v>26</v>
      </c>
      <c r="D16">
        <v>65</v>
      </c>
      <c r="E16">
        <v>19</v>
      </c>
      <c r="M16" s="5" cm="1">
        <f t="array" ref="M16">SQRT(SUMXMY2($B16:$E16,H$3:H$6))</f>
        <v>57.0972853995704</v>
      </c>
      <c r="N16" s="5" cm="1">
        <f t="array" ref="N16">SQRT(SUMXMY2($B16:$E16,I$3:I$6))</f>
        <v>53.2631204493315</v>
      </c>
      <c r="O16" s="5" cm="1">
        <f t="array" ref="O16">SQRT(SUMXMY2($B16:$E16,J$3:J$6))</f>
        <v>75.8485332752058</v>
      </c>
      <c r="P16" s="5" cm="1">
        <f t="array" ref="P16">SQRT(SUMXMY2($B16:$E16,K$3:K$6))</f>
        <v>176.085206647237</v>
      </c>
      <c r="Q16" t="str">
        <f t="shared" si="0"/>
        <v>C2</v>
      </c>
    </row>
    <row r="17" spans="1:17">
      <c r="A17" t="s">
        <v>26</v>
      </c>
      <c r="B17">
        <v>2</v>
      </c>
      <c r="C17">
        <v>0.1</v>
      </c>
      <c r="D17">
        <v>53</v>
      </c>
      <c r="E17">
        <v>9</v>
      </c>
      <c r="M17" s="5" cm="1">
        <f t="array" ref="M17">SQRT(SUMXMY2($B17:$E17,H$3:H$6))</f>
        <v>45.61480022975</v>
      </c>
      <c r="N17" s="5" cm="1">
        <f t="array" ref="N17">SQRT(SUMXMY2($B17:$E17,I$3:I$6))</f>
        <v>62.460947799405</v>
      </c>
      <c r="O17" s="5" cm="1">
        <f t="array" ref="O17">SQRT(SUMXMY2($B17:$E17,J$3:J$6))</f>
        <v>101.61697692807</v>
      </c>
      <c r="P17" s="5" cm="1">
        <f t="array" ref="P17">SQRT(SUMXMY2($B17:$E17,K$3:K$6))</f>
        <v>204.496968192685</v>
      </c>
      <c r="Q17" t="str">
        <f t="shared" si="0"/>
        <v>C1</v>
      </c>
    </row>
    <row r="18" spans="1:17">
      <c r="A18" t="s">
        <v>27</v>
      </c>
      <c r="B18">
        <v>3</v>
      </c>
      <c r="C18">
        <v>80</v>
      </c>
      <c r="D18">
        <v>56</v>
      </c>
      <c r="E18">
        <v>16</v>
      </c>
      <c r="M18" s="5" cm="1">
        <f t="array" ref="M18">SQRT(SUMXMY2($B18:$E18,H$3:H$6))</f>
        <v>79.9168317690335</v>
      </c>
      <c r="N18" s="5" cm="1">
        <f t="array" ref="N18">SQRT(SUMXMY2($B18:$E18,I$3:I$6))</f>
        <v>45.4726291300602</v>
      </c>
      <c r="O18" s="5" cm="1">
        <f t="array" ref="O18">SQRT(SUMXMY2($B18:$E18,J$3:J$6))</f>
        <v>24.1039415863879</v>
      </c>
      <c r="P18" s="5" cm="1">
        <f t="array" ref="P18">SQRT(SUMXMY2($B18:$E18,K$3:K$6))</f>
        <v>125.283678106927</v>
      </c>
      <c r="Q18" t="str">
        <f t="shared" si="0"/>
        <v>C3</v>
      </c>
    </row>
    <row r="19" spans="1:17">
      <c r="A19" t="s">
        <v>28</v>
      </c>
      <c r="B19">
        <v>7</v>
      </c>
      <c r="C19">
        <v>70</v>
      </c>
      <c r="D19">
        <v>43</v>
      </c>
      <c r="E19">
        <v>15</v>
      </c>
      <c r="M19" s="5" cm="1">
        <f t="array" ref="M19">SQRT(SUMXMY2($B19:$E19,H$3:H$6))</f>
        <v>64.5577261061757</v>
      </c>
      <c r="N19" s="5" cm="1">
        <f t="array" ref="N19">SQRT(SUMXMY2($B19:$E19,I$3:I$6))</f>
        <v>29.0681956784387</v>
      </c>
      <c r="O19" s="5" cm="1">
        <f t="array" ref="O19">SQRT(SUMXMY2($B19:$E19,J$3:J$6))</f>
        <v>32.6343377441614</v>
      </c>
      <c r="P19" s="5" cm="1">
        <f t="array" ref="P19">SQRT(SUMXMY2($B19:$E19,K$3:K$6))</f>
        <v>137.688053221766</v>
      </c>
      <c r="Q19" t="str">
        <f t="shared" si="0"/>
        <v>C2</v>
      </c>
    </row>
    <row r="20" spans="1:17">
      <c r="A20" t="s">
        <v>29</v>
      </c>
      <c r="B20">
        <v>15</v>
      </c>
      <c r="C20">
        <v>159</v>
      </c>
      <c r="D20">
        <v>61</v>
      </c>
      <c r="E20">
        <v>19</v>
      </c>
      <c r="M20" s="5" cm="1">
        <f t="array" ref="M20">SQRT(SUMXMY2($B20:$E20,H$3:H$6))</f>
        <v>153.588736566195</v>
      </c>
      <c r="N20" s="5" cm="1">
        <f t="array" ref="N20">SQRT(SUMXMY2($B20:$E20,I$3:I$6))</f>
        <v>114.395629287137</v>
      </c>
      <c r="O20" s="5" cm="1">
        <f t="array" ref="O20">SQRT(SUMXMY2($B20:$E20,J$3:J$6))</f>
        <v>60.4483250388297</v>
      </c>
      <c r="P20" s="5" cm="1">
        <f t="array" ref="P20">SQRT(SUMXMY2($B20:$E20,K$3:K$6))</f>
        <v>49.829710013204</v>
      </c>
      <c r="Q20" t="str">
        <f t="shared" si="0"/>
        <v>C4</v>
      </c>
    </row>
    <row r="21" spans="1:17">
      <c r="A21" t="s">
        <v>30</v>
      </c>
      <c r="B21">
        <v>1</v>
      </c>
      <c r="C21">
        <v>0.1</v>
      </c>
      <c r="D21">
        <v>45</v>
      </c>
      <c r="E21">
        <v>7</v>
      </c>
      <c r="M21" s="5" cm="1">
        <f t="array" ref="M21">SQRT(SUMXMY2($B21:$E21,H$3:H$6))</f>
        <v>38.2715298884171</v>
      </c>
      <c r="N21" s="5" cm="1">
        <f t="array" ref="N21">SQRT(SUMXMY2($B21:$E21,I$3:I$6))</f>
        <v>58.7670826228425</v>
      </c>
      <c r="O21" s="5" cm="1">
        <f t="array" ref="O21">SQRT(SUMXMY2($B21:$E21,J$3:J$6))</f>
        <v>102.1225244498</v>
      </c>
      <c r="P21" s="5" cm="1">
        <f t="array" ref="P21">SQRT(SUMXMY2($B21:$E21,K$3:K$6))</f>
        <v>206.082532010843</v>
      </c>
      <c r="Q21" t="str">
        <f t="shared" si="0"/>
        <v>C1</v>
      </c>
    </row>
    <row r="22" spans="1:17">
      <c r="A22" t="s">
        <v>31</v>
      </c>
      <c r="B22">
        <v>10</v>
      </c>
      <c r="C22">
        <v>260</v>
      </c>
      <c r="D22">
        <v>63</v>
      </c>
      <c r="E22">
        <v>28</v>
      </c>
      <c r="M22" s="5" cm="1">
        <f t="array" ref="M22">SQRT(SUMXMY2($B22:$E22,H$3:H$6))</f>
        <v>251.451585797346</v>
      </c>
      <c r="N22" s="5" cm="1">
        <f t="array" ref="N22">SQRT(SUMXMY2($B22:$E22,I$3:I$6))</f>
        <v>212.229498420931</v>
      </c>
      <c r="O22" s="5" cm="1">
        <f t="array" ref="O22">SQRT(SUMXMY2($B22:$E22,J$3:J$6))</f>
        <v>160.558400589941</v>
      </c>
      <c r="P22" s="5" cm="1">
        <f t="array" ref="P22">SQRT(SUMXMY2($B22:$E22,K$3:K$6))</f>
        <v>63.7024332345319</v>
      </c>
      <c r="Q22" t="str">
        <f t="shared" si="0"/>
        <v>C4</v>
      </c>
    </row>
    <row r="23" spans="1:17">
      <c r="A23" t="s">
        <v>32</v>
      </c>
      <c r="B23">
        <v>2</v>
      </c>
      <c r="C23">
        <v>138</v>
      </c>
      <c r="D23">
        <v>82</v>
      </c>
      <c r="E23">
        <v>13</v>
      </c>
      <c r="M23" s="5" cm="1">
        <f t="array" ref="M23">SQRT(SUMXMY2($B23:$E23,H$3:H$6))</f>
        <v>142.606100851261</v>
      </c>
      <c r="N23" s="5" cm="1">
        <f t="array" ref="N23">SQRT(SUMXMY2($B23:$E23,I$3:I$6))</f>
        <v>105.313626848571</v>
      </c>
      <c r="O23" s="5" cm="1">
        <f t="array" ref="O23">SQRT(SUMXMY2($B23:$E23,J$3:J$6))</f>
        <v>51.8941229813165</v>
      </c>
      <c r="P23" s="5" cm="1">
        <f t="array" ref="P23">SQRT(SUMXMY2($B23:$E23,K$3:K$6))</f>
        <v>68.8912185985993</v>
      </c>
      <c r="Q23" t="str">
        <f t="shared" si="0"/>
        <v>C3</v>
      </c>
    </row>
    <row r="24" spans="1:17">
      <c r="A24" t="s">
        <v>33</v>
      </c>
      <c r="B24">
        <v>11</v>
      </c>
      <c r="C24">
        <v>251</v>
      </c>
      <c r="D24">
        <v>68</v>
      </c>
      <c r="E24">
        <v>35</v>
      </c>
      <c r="M24" s="5" cm="1">
        <f t="array" ref="M24">SQRT(SUMXMY2($B24:$E24,H$3:H$6))</f>
        <v>244.483741790737</v>
      </c>
      <c r="N24" s="5" cm="1">
        <f t="array" ref="N24">SQRT(SUMXMY2($B24:$E24,I$3:I$6))</f>
        <v>205.334264067155</v>
      </c>
      <c r="O24" s="5" cm="1">
        <f t="array" ref="O24">SQRT(SUMXMY2($B24:$E24,J$3:J$6))</f>
        <v>152.397506541282</v>
      </c>
      <c r="P24" s="5" cm="1">
        <f t="array" ref="P24">SQRT(SUMXMY2($B24:$E24,K$3:K$6))</f>
        <v>52.7825728815866</v>
      </c>
      <c r="Q24" t="str">
        <f t="shared" si="0"/>
        <v>C4</v>
      </c>
    </row>
    <row r="25" spans="1:17">
      <c r="A25" t="s">
        <v>34</v>
      </c>
      <c r="B25">
        <v>1</v>
      </c>
      <c r="C25">
        <v>3</v>
      </c>
      <c r="D25">
        <v>62</v>
      </c>
      <c r="E25">
        <v>14</v>
      </c>
      <c r="M25" s="5" cm="1">
        <f t="array" ref="M25">SQRT(SUMXMY2($B25:$E25,H$3:H$6))</f>
        <v>53.6292830457391</v>
      </c>
      <c r="N25" s="5" cm="1">
        <f t="array" ref="N25">SQRT(SUMXMY2($B25:$E25,I$3:I$6))</f>
        <v>65.5832295636621</v>
      </c>
      <c r="O25" s="5" cm="1">
        <f t="array" ref="O25">SQRT(SUMXMY2($B25:$E25,J$3:J$6))</f>
        <v>98.8635423197045</v>
      </c>
      <c r="P25" s="5" cm="1">
        <f t="array" ref="P25">SQRT(SUMXMY2($B25:$E25,K$3:K$6))</f>
        <v>200.012499609399</v>
      </c>
      <c r="Q25" t="str">
        <f t="shared" si="0"/>
        <v>C1</v>
      </c>
    </row>
    <row r="26" spans="1:17">
      <c r="A26" t="s">
        <v>35</v>
      </c>
      <c r="B26">
        <v>13</v>
      </c>
      <c r="C26">
        <v>209</v>
      </c>
      <c r="D26">
        <v>44</v>
      </c>
      <c r="E26">
        <v>13</v>
      </c>
      <c r="M26" s="5" cm="1">
        <f t="array" ref="M26">SQRT(SUMXMY2($B26:$E26,H$3:H$6))</f>
        <v>197.287353877536</v>
      </c>
      <c r="N26" s="5" cm="1">
        <f t="array" ref="N26">SQRT(SUMXMY2($B26:$E26,I$3:I$6))</f>
        <v>158.037210808088</v>
      </c>
      <c r="O26" s="5" cm="1">
        <f t="array" ref="O26">SQRT(SUMXMY2($B26:$E26,J$3:J$6))</f>
        <v>109.840793879141</v>
      </c>
      <c r="P26" s="5" cm="1">
        <f t="array" ref="P26">SQRT(SUMXMY2($B26:$E26,K$3:K$6))</f>
        <v>45.9347363114234</v>
      </c>
      <c r="Q26" t="str">
        <f t="shared" si="0"/>
        <v>C4</v>
      </c>
    </row>
    <row r="27" spans="1:17">
      <c r="A27" t="s">
        <v>36</v>
      </c>
      <c r="B27">
        <v>8</v>
      </c>
      <c r="C27">
        <v>80</v>
      </c>
      <c r="D27">
        <v>61</v>
      </c>
      <c r="E27">
        <v>28</v>
      </c>
      <c r="M27" s="5" cm="1">
        <f t="array" ref="M27">SQRT(SUMXMY2($B27:$E27,H$3:H$6))</f>
        <v>84.8097871710571</v>
      </c>
      <c r="N27" s="5" cm="1">
        <f t="array" ref="N27">SQRT(SUMXMY2($B27:$E27,I$3:I$6))</f>
        <v>52.3427167808474</v>
      </c>
      <c r="O27" s="5" cm="1">
        <f t="array" ref="O27">SQRT(SUMXMY2($B27:$E27,J$3:J$6))</f>
        <v>23.2163735324878</v>
      </c>
      <c r="P27" s="5" cm="1">
        <f t="array" ref="P27">SQRT(SUMXMY2($B27:$E27,K$3:K$6))</f>
        <v>122.286548728795</v>
      </c>
      <c r="Q27" t="str">
        <f t="shared" si="0"/>
        <v>C3</v>
      </c>
    </row>
    <row r="28" spans="1:17">
      <c r="A28" t="s">
        <v>37</v>
      </c>
      <c r="B28">
        <v>5</v>
      </c>
      <c r="C28">
        <v>19</v>
      </c>
      <c r="D28">
        <v>45</v>
      </c>
      <c r="E28">
        <v>15</v>
      </c>
      <c r="M28" s="5" cm="1">
        <f t="array" ref="M28">SQRT(SUMXMY2($B28:$E28,H$3:H$6))</f>
        <v>35.7812800218215</v>
      </c>
      <c r="N28" s="5" cm="1">
        <f t="array" ref="N28">SQRT(SUMXMY2($B28:$E28,I$3:I$6))</f>
        <v>42.5012940979448</v>
      </c>
      <c r="O28" s="5" cm="1">
        <f t="array" ref="O28">SQRT(SUMXMY2($B28:$E28,J$3:J$6))</f>
        <v>81.9878039710785</v>
      </c>
      <c r="P28" s="5" cm="1">
        <f t="array" ref="P28">SQRT(SUMXMY2($B28:$E28,K$3:K$6))</f>
        <v>186.308883309412</v>
      </c>
      <c r="Q28" t="str">
        <f t="shared" si="0"/>
        <v>C1</v>
      </c>
    </row>
    <row r="29" spans="1:17">
      <c r="A29" t="s">
        <v>38</v>
      </c>
      <c r="B29">
        <v>4</v>
      </c>
      <c r="C29">
        <v>10</v>
      </c>
      <c r="D29">
        <v>56</v>
      </c>
      <c r="E29">
        <v>13</v>
      </c>
      <c r="M29" s="5" cm="1">
        <f t="array" ref="M29">SQRT(SUMXMY2($B29:$E29,H$3:H$6))</f>
        <v>46.4983870688006</v>
      </c>
      <c r="N29" s="5" cm="1">
        <f t="array" ref="N29">SQRT(SUMXMY2($B29:$E29,I$3:I$6))</f>
        <v>56.1832715316579</v>
      </c>
      <c r="O29" s="5" cm="1">
        <f t="array" ref="O29">SQRT(SUMXMY2($B29:$E29,J$3:J$6))</f>
        <v>91.2633551870629</v>
      </c>
      <c r="P29" s="5" cm="1">
        <f t="array" ref="P29">SQRT(SUMXMY2($B29:$E29,K$3:K$6))</f>
        <v>193.716287389574</v>
      </c>
      <c r="Q29" t="str">
        <f t="shared" si="0"/>
        <v>C1</v>
      </c>
    </row>
    <row r="30" spans="1:17">
      <c r="A30" t="s">
        <v>39</v>
      </c>
      <c r="B30">
        <v>11</v>
      </c>
      <c r="C30">
        <v>239</v>
      </c>
      <c r="D30">
        <v>75</v>
      </c>
      <c r="E30">
        <v>43</v>
      </c>
      <c r="M30" s="5" cm="1">
        <f t="array" ref="M30">SQRT(SUMXMY2($B30:$E30,H$3:H$6))</f>
        <v>235.751352063991</v>
      </c>
      <c r="N30" s="5" cm="1">
        <f t="array" ref="N30">SQRT(SUMXMY2($B30:$E30,I$3:I$6))</f>
        <v>196.822661296915</v>
      </c>
      <c r="O30" s="5" cm="1">
        <f t="array" ref="O30">SQRT(SUMXMY2($B30:$E30,J$3:J$6))</f>
        <v>142.372750201715</v>
      </c>
      <c r="P30" s="5" cm="1">
        <f t="array" ref="P30">SQRT(SUMXMY2($B30:$E30,K$3:K$6))</f>
        <v>39.6358423652128</v>
      </c>
      <c r="Q30" t="str">
        <f t="shared" si="0"/>
        <v>C4</v>
      </c>
    </row>
    <row r="31" spans="1:17">
      <c r="A31" t="s">
        <v>40</v>
      </c>
      <c r="B31">
        <v>0</v>
      </c>
      <c r="C31">
        <v>0.1</v>
      </c>
      <c r="D31">
        <v>53</v>
      </c>
      <c r="E31">
        <v>6</v>
      </c>
      <c r="M31" s="5" cm="1">
        <f t="array" ref="M31">SQRT(SUMXMY2($B31:$E31,H$3:H$6))</f>
        <v>45.8356847881648</v>
      </c>
      <c r="N31" s="5" cm="1">
        <f t="array" ref="N31">SQRT(SUMXMY2($B31:$E31,I$3:I$6))</f>
        <v>62.7277450575102</v>
      </c>
      <c r="O31" s="5" cm="1">
        <f t="array" ref="O31">SQRT(SUMXMY2($B31:$E31,J$3:J$6))</f>
        <v>102.327953170187</v>
      </c>
      <c r="P31" s="5" cm="1">
        <f t="array" ref="P31">SQRT(SUMXMY2($B31:$E31,K$3:K$6))</f>
        <v>205.10975110901</v>
      </c>
      <c r="Q31" t="str">
        <f t="shared" si="0"/>
        <v>C1</v>
      </c>
    </row>
    <row r="32" spans="1:17">
      <c r="A32" t="s">
        <v>41</v>
      </c>
      <c r="B32">
        <v>5</v>
      </c>
      <c r="C32">
        <v>155</v>
      </c>
      <c r="D32">
        <v>87</v>
      </c>
      <c r="E32">
        <v>19</v>
      </c>
      <c r="M32" s="5" cm="1">
        <f t="array" ref="M32">SQRT(SUMXMY2($B32:$E32,H$3:H$6))</f>
        <v>160.102154888683</v>
      </c>
      <c r="N32" s="5" cm="1">
        <f t="array" ref="N32">SQRT(SUMXMY2($B32:$E32,I$3:I$6))</f>
        <v>122.369767508155</v>
      </c>
      <c r="O32" s="5" cm="1">
        <f t="array" ref="O32">SQRT(SUMXMY2($B32:$E32,J$3:J$6))</f>
        <v>66.8281377864145</v>
      </c>
      <c r="P32" s="5" cm="1">
        <f t="array" ref="P32">SQRT(SUMXMY2($B32:$E32,K$3:K$6))</f>
        <v>51.1370707021824</v>
      </c>
      <c r="Q32" t="str">
        <f t="shared" si="0"/>
        <v>C4</v>
      </c>
    </row>
    <row r="33" spans="1:17">
      <c r="A33" t="s">
        <v>42</v>
      </c>
      <c r="B33">
        <v>12</v>
      </c>
      <c r="C33">
        <v>229</v>
      </c>
      <c r="D33">
        <v>64</v>
      </c>
      <c r="E33">
        <v>32</v>
      </c>
      <c r="M33" s="5" cm="1">
        <f t="array" ref="M33">SQRT(SUMXMY2($B33:$E33,H$3:H$6))</f>
        <v>222.038059800567</v>
      </c>
      <c r="N33" s="5" cm="1">
        <f t="array" ref="N33">SQRT(SUMXMY2($B33:$E33,I$3:I$6))</f>
        <v>182.857758927534</v>
      </c>
      <c r="O33" s="5" cm="1">
        <f t="array" ref="O33">SQRT(SUMXMY2($B33:$E33,J$3:J$6))</f>
        <v>129.949990380915</v>
      </c>
      <c r="P33" s="5" cm="1">
        <f t="array" ref="P33">SQRT(SUMXMY2($B33:$E33,K$3:K$6))</f>
        <v>34.2052627529741</v>
      </c>
      <c r="Q33" t="str">
        <f t="shared" si="0"/>
        <v>C4</v>
      </c>
    </row>
    <row r="34" spans="1:17">
      <c r="A34" t="s">
        <v>43</v>
      </c>
      <c r="B34">
        <v>9</v>
      </c>
      <c r="C34">
        <v>161</v>
      </c>
      <c r="D34">
        <v>85</v>
      </c>
      <c r="E34">
        <v>23</v>
      </c>
      <c r="M34" s="5" cm="1">
        <f t="array" ref="M34">SQRT(SUMXMY2($B34:$E34,H$3:H$6))</f>
        <v>164.832945735978</v>
      </c>
      <c r="N34" s="5" cm="1">
        <f t="array" ref="N34">SQRT(SUMXMY2($B34:$E34,I$3:I$6))</f>
        <v>126.76576824995</v>
      </c>
      <c r="O34" s="5" cm="1">
        <f t="array" ref="O34">SQRT(SUMXMY2($B34:$E34,J$3:J$6))</f>
        <v>70.3846574190711</v>
      </c>
      <c r="P34" s="5" cm="1">
        <f t="array" ref="P34">SQRT(SUMXMY2($B34:$E34,K$3:K$6))</f>
        <v>43.2550575077643</v>
      </c>
      <c r="Q34" t="str">
        <f t="shared" si="0"/>
        <v>C4</v>
      </c>
    </row>
    <row r="35" spans="1:17">
      <c r="A35" t="s">
        <v>44</v>
      </c>
      <c r="B35">
        <v>13</v>
      </c>
      <c r="C35">
        <v>321</v>
      </c>
      <c r="D35">
        <v>45</v>
      </c>
      <c r="E35">
        <v>13</v>
      </c>
      <c r="M35" s="5" cm="1">
        <f t="array" ref="M35">SQRT(SUMXMY2($B35:$E35,H$3:H$6))</f>
        <v>308.206911019205</v>
      </c>
      <c r="N35" s="5" cm="1">
        <f t="array" ref="N35">SQRT(SUMXMY2($B35:$E35,I$3:I$6))</f>
        <v>269.2819340394</v>
      </c>
      <c r="O35" s="5" cm="1">
        <f t="array" ref="O35">SQRT(SUMXMY2($B35:$E35,J$3:J$6))</f>
        <v>221.391056729941</v>
      </c>
      <c r="P35" s="5" cm="1">
        <f t="array" ref="P35">SQRT(SUMXMY2($B35:$E35,K$3:K$6))</f>
        <v>128.837106456176</v>
      </c>
      <c r="Q35" t="str">
        <f t="shared" si="0"/>
        <v>C4</v>
      </c>
    </row>
    <row r="36" spans="1:17">
      <c r="A36" t="s">
        <v>45</v>
      </c>
      <c r="B36">
        <v>0.1</v>
      </c>
      <c r="C36">
        <v>27</v>
      </c>
      <c r="D36">
        <v>44</v>
      </c>
      <c r="E36">
        <v>6</v>
      </c>
      <c r="M36" s="5" cm="1">
        <f t="array" ref="M36">SQRT(SUMXMY2($B36:$E36,H$3:H$6))</f>
        <v>36.4369318137518</v>
      </c>
      <c r="N36" s="5" cm="1">
        <f t="array" ref="N36">SQRT(SUMXMY2($B36:$E36,I$3:I$6))</f>
        <v>36.0312364483929</v>
      </c>
      <c r="O36" s="5" cm="1">
        <f t="array" ref="O36">SQRT(SUMXMY2($B36:$E36,J$3:J$6))</f>
        <v>76.4513570840963</v>
      </c>
      <c r="P36" s="5" cm="1">
        <f t="array" ref="P36">SQRT(SUMXMY2($B36:$E36,K$3:K$6))</f>
        <v>180.563036084355</v>
      </c>
      <c r="Q36" t="str">
        <f t="shared" ref="Q36:Q52" si="1">INDEX($M$2:$P$2,1,MATCH(MIN(M36:P36),M36:P36,0))</f>
        <v>C2</v>
      </c>
    </row>
    <row r="37" spans="1:17">
      <c r="A37" t="s">
        <v>46</v>
      </c>
      <c r="B37">
        <v>8</v>
      </c>
      <c r="C37">
        <v>119</v>
      </c>
      <c r="D37">
        <v>73</v>
      </c>
      <c r="E37">
        <v>18</v>
      </c>
      <c r="M37" s="5" cm="1">
        <f t="array" ref="M37">SQRT(SUMXMY2($B37:$E37,H$3:H$6))</f>
        <v>122.041386422803</v>
      </c>
      <c r="N37" s="5" cm="1">
        <f t="array" ref="N37">SQRT(SUMXMY2($B37:$E37,I$3:I$6))</f>
        <v>85.0573923889041</v>
      </c>
      <c r="O37" s="5" cm="1">
        <f t="array" ref="O37">SQRT(SUMXMY2($B37:$E37,J$3:J$6))</f>
        <v>30.7896086366813</v>
      </c>
      <c r="P37" s="5" cm="1">
        <f t="array" ref="P37">SQRT(SUMXMY2($B37:$E37,K$3:K$6))</f>
        <v>84.5162706228807</v>
      </c>
      <c r="Q37" t="str">
        <f t="shared" si="1"/>
        <v>C3</v>
      </c>
    </row>
    <row r="38" spans="1:17">
      <c r="A38" t="s">
        <v>47</v>
      </c>
      <c r="B38">
        <v>4</v>
      </c>
      <c r="C38">
        <v>116</v>
      </c>
      <c r="D38">
        <v>59</v>
      </c>
      <c r="E38">
        <v>20</v>
      </c>
      <c r="M38" s="5" cm="1">
        <f t="array" ref="M38">SQRT(SUMXMY2($B38:$E38,H$3:H$6))</f>
        <v>112.759478537283</v>
      </c>
      <c r="N38" s="5" cm="1">
        <f t="array" ref="N38">SQRT(SUMXMY2($B38:$E38,I$3:I$6))</f>
        <v>74.7834206224882</v>
      </c>
      <c r="O38" s="5" cm="1">
        <f t="array" ref="O38">SQRT(SUMXMY2($B38:$E38,J$3:J$6))</f>
        <v>20.2731349327133</v>
      </c>
      <c r="P38" s="5" cm="1">
        <f t="array" ref="P38">SQRT(SUMXMY2($B38:$E38,K$3:K$6))</f>
        <v>89.5432856220945</v>
      </c>
      <c r="Q38" t="str">
        <f t="shared" si="1"/>
        <v>C3</v>
      </c>
    </row>
    <row r="39" spans="1:17">
      <c r="A39" t="s">
        <v>48</v>
      </c>
      <c r="B39">
        <v>4</v>
      </c>
      <c r="C39">
        <v>103</v>
      </c>
      <c r="D39">
        <v>58</v>
      </c>
      <c r="E39">
        <v>29</v>
      </c>
      <c r="M39" s="5" cm="1">
        <f t="array" ref="M39">SQRT(SUMXMY2($B39:$E39,H$3:H$6))</f>
        <v>102.085748270755</v>
      </c>
      <c r="N39" s="5" cm="1">
        <f t="array" ref="N39">SQRT(SUMXMY2($B39:$E39,I$3:I$6))</f>
        <v>65.6320043881032</v>
      </c>
      <c r="O39" s="5" cm="1">
        <f t="array" ref="O39">SQRT(SUMXMY2($B39:$E39,J$3:J$6))</f>
        <v>11.7473401244707</v>
      </c>
      <c r="P39" s="5" cm="1">
        <f t="array" ref="P39">SQRT(SUMXMY2($B39:$E39,K$3:K$6))</f>
        <v>100.672737123811</v>
      </c>
      <c r="Q39" t="str">
        <f t="shared" si="1"/>
        <v>C3</v>
      </c>
    </row>
    <row r="40" spans="1:17">
      <c r="A40" t="s">
        <v>49</v>
      </c>
      <c r="B40">
        <v>4</v>
      </c>
      <c r="C40">
        <v>57</v>
      </c>
      <c r="D40">
        <v>67</v>
      </c>
      <c r="E40">
        <v>13</v>
      </c>
      <c r="M40" s="5" cm="1">
        <f t="array" ref="M40">SQRT(SUMXMY2($B40:$E40,H$3:H$6))</f>
        <v>70.9668936899453</v>
      </c>
      <c r="N40" s="5" cm="1">
        <f t="array" ref="N40">SQRT(SUMXMY2($B40:$E40,I$3:I$6))</f>
        <v>47.2922826685285</v>
      </c>
      <c r="O40" s="5" cm="1">
        <f t="array" ref="O40">SQRT(SUMXMY2($B40:$E40,J$3:J$6))</f>
        <v>48.2804308182932</v>
      </c>
      <c r="P40" s="5" cm="1">
        <f t="array" ref="P40">SQRT(SUMXMY2($B40:$E40,K$3:K$6))</f>
        <v>146.519623259139</v>
      </c>
      <c r="Q40" t="str">
        <f t="shared" si="1"/>
        <v>C2</v>
      </c>
    </row>
    <row r="41" spans="1:17">
      <c r="A41" t="s">
        <v>50</v>
      </c>
      <c r="B41">
        <v>2</v>
      </c>
      <c r="C41">
        <v>97</v>
      </c>
      <c r="D41">
        <v>83</v>
      </c>
      <c r="E41">
        <v>5</v>
      </c>
      <c r="M41" s="5" cm="1">
        <f t="array" ref="M41">SQRT(SUMXMY2($B41:$E41,H$3:H$6))</f>
        <v>109.966813175612</v>
      </c>
      <c r="N41" s="5" cm="1">
        <f t="array" ref="N41">SQRT(SUMXMY2($B41:$E41,I$3:I$6))</f>
        <v>77.0905960542529</v>
      </c>
      <c r="O41" s="5" cm="1">
        <f t="array" ref="O41">SQRT(SUMXMY2($B41:$E41,J$3:J$6))</f>
        <v>39.7366329726111</v>
      </c>
      <c r="P41" s="5" cm="1">
        <f t="array" ref="P41">SQRT(SUMXMY2($B41:$E41,K$3:K$6))</f>
        <v>109.599270070562</v>
      </c>
      <c r="Q41" t="str">
        <f t="shared" si="1"/>
        <v>C3</v>
      </c>
    </row>
    <row r="42" spans="1:17">
      <c r="A42" t="s">
        <v>51</v>
      </c>
      <c r="B42">
        <v>13</v>
      </c>
      <c r="C42">
        <v>210</v>
      </c>
      <c r="D42">
        <v>46</v>
      </c>
      <c r="E42">
        <v>21</v>
      </c>
      <c r="M42" s="5" cm="1">
        <f t="array" ref="M42">SQRT(SUMXMY2($B42:$E42,H$3:H$6))</f>
        <v>198.906259328358</v>
      </c>
      <c r="N42" s="5" cm="1">
        <f t="array" ref="N42">SQRT(SUMXMY2($B42:$E42,I$3:I$6))</f>
        <v>159.689573861289</v>
      </c>
      <c r="O42" s="5" cm="1">
        <f t="array" ref="O42">SQRT(SUMXMY2($B42:$E42,J$3:J$6))</f>
        <v>110.163514831363</v>
      </c>
      <c r="P42" s="5" cm="1">
        <f t="array" ref="P42">SQRT(SUMXMY2($B42:$E42,K$3:K$6))</f>
        <v>40.2616442783948</v>
      </c>
      <c r="Q42" t="str">
        <f t="shared" si="1"/>
        <v>C4</v>
      </c>
    </row>
    <row r="43" spans="1:17">
      <c r="A43" t="s">
        <v>52</v>
      </c>
      <c r="B43">
        <v>3</v>
      </c>
      <c r="C43">
        <v>1</v>
      </c>
      <c r="D43">
        <v>43</v>
      </c>
      <c r="E43">
        <v>12</v>
      </c>
      <c r="M43" s="5" cm="1">
        <f t="array" ref="M43">SQRT(SUMXMY2($B43:$E43,H$3:H$6))</f>
        <v>36.0013888620981</v>
      </c>
      <c r="N43" s="5" cm="1">
        <f t="array" ref="N43">SQRT(SUMXMY2($B43:$E43,I$3:I$6))</f>
        <v>56.9540165396612</v>
      </c>
      <c r="O43" s="5" cm="1">
        <f t="array" ref="O43">SQRT(SUMXMY2($B43:$E43,J$3:J$6))</f>
        <v>100.414142430237</v>
      </c>
      <c r="P43" s="5" cm="1">
        <f t="array" ref="P43">SQRT(SUMXMY2($B43:$E43,K$3:K$6))</f>
        <v>204.690009526601</v>
      </c>
      <c r="Q43" t="str">
        <f t="shared" si="1"/>
        <v>C1</v>
      </c>
    </row>
    <row r="44" spans="1:17">
      <c r="A44" t="s">
        <v>53</v>
      </c>
      <c r="B44">
        <v>14</v>
      </c>
      <c r="C44">
        <v>96</v>
      </c>
      <c r="D44">
        <v>58</v>
      </c>
      <c r="E44">
        <v>27</v>
      </c>
      <c r="M44" s="5" cm="1">
        <f t="array" ref="M44">SQRT(SUMXMY2($B44:$E44,H$3:H$6))</f>
        <v>96.4390999543235</v>
      </c>
      <c r="N44" s="5" cm="1">
        <f t="array" ref="N44">SQRT(SUMXMY2($B44:$E44,I$3:I$6))</f>
        <v>60.4364128650932</v>
      </c>
      <c r="O44" s="5" cm="1">
        <f t="array" ref="O44">SQRT(SUMXMY2($B44:$E44,J$3:J$6))</f>
        <v>9.64365076099295</v>
      </c>
      <c r="P44" s="5" cm="1">
        <f t="array" ref="P44">SQRT(SUMXMY2($B44:$E44,K$3:K$6))</f>
        <v>107.098085883922</v>
      </c>
      <c r="Q44" t="str">
        <f t="shared" si="1"/>
        <v>C3</v>
      </c>
    </row>
    <row r="45" spans="1:17">
      <c r="A45" t="s">
        <v>54</v>
      </c>
      <c r="B45">
        <v>13</v>
      </c>
      <c r="C45">
        <v>137</v>
      </c>
      <c r="D45">
        <v>79</v>
      </c>
      <c r="E45">
        <v>25</v>
      </c>
      <c r="M45" s="5" cm="1">
        <f t="array" ref="M45">SQRT(SUMXMY2($B45:$E45,H$3:H$6))</f>
        <v>141.415345701943</v>
      </c>
      <c r="N45" s="5" cm="1">
        <f t="array" ref="N45">SQRT(SUMXMY2($B45:$E45,I$3:I$6))</f>
        <v>104.003653781971</v>
      </c>
      <c r="O45" s="5" cm="1">
        <f t="array" ref="O45">SQRT(SUMXMY2($B45:$E45,J$3:J$6))</f>
        <v>47.0531614240744</v>
      </c>
      <c r="P45" s="5" cm="1">
        <f t="array" ref="P45">SQRT(SUMXMY2($B45:$E45,K$3:K$6))</f>
        <v>64.7996913572897</v>
      </c>
      <c r="Q45" t="str">
        <f t="shared" si="1"/>
        <v>C3</v>
      </c>
    </row>
    <row r="46" spans="1:17">
      <c r="A46" t="s">
        <v>55</v>
      </c>
      <c r="B46">
        <v>0</v>
      </c>
      <c r="C46">
        <v>49</v>
      </c>
      <c r="D46">
        <v>74</v>
      </c>
      <c r="E46">
        <v>21</v>
      </c>
      <c r="M46" s="5" cm="1">
        <f t="array" ref="M46">SQRT(SUMXMY2($B46:$E46,H$3:H$6))</f>
        <v>73.4241104815033</v>
      </c>
      <c r="N46" s="5" cm="1">
        <f t="array" ref="N46">SQRT(SUMXMY2($B46:$E46,I$3:I$6))</f>
        <v>55.5370146839025</v>
      </c>
      <c r="O46" s="5" cm="1">
        <f t="array" ref="O46">SQRT(SUMXMY2($B46:$E46,J$3:J$6))</f>
        <v>57.567351858497</v>
      </c>
      <c r="P46" s="5" cm="1">
        <f t="array" ref="P46">SQRT(SUMXMY2($B46:$E46,K$3:K$6))</f>
        <v>153.04574479547</v>
      </c>
      <c r="Q46" t="str">
        <f t="shared" si="1"/>
        <v>C2</v>
      </c>
    </row>
    <row r="47" spans="1:17">
      <c r="A47" t="s">
        <v>56</v>
      </c>
      <c r="B47">
        <v>0.1</v>
      </c>
      <c r="C47">
        <v>44</v>
      </c>
      <c r="D47">
        <v>24</v>
      </c>
      <c r="E47">
        <v>8</v>
      </c>
      <c r="M47" s="5" cm="1">
        <f t="array" ref="M47">SQRT(SUMXMY2($B47:$E47,H$3:H$6))</f>
        <v>32.3828658398234</v>
      </c>
      <c r="N47" s="5" cm="1">
        <f t="array" ref="N47">SQRT(SUMXMY2($B47:$E47,I$3:I$6))</f>
        <v>11.4564392373896</v>
      </c>
      <c r="O47" s="5" cm="1">
        <f t="array" ref="O47">SQRT(SUMXMY2($B47:$E47,J$3:J$6))</f>
        <v>64.9600646551402</v>
      </c>
      <c r="P47" s="5" cm="1">
        <f t="array" ref="P47">SQRT(SUMXMY2($B47:$E47,K$3:K$6))</f>
        <v>169.463889958894</v>
      </c>
      <c r="Q47" t="str">
        <f t="shared" si="1"/>
        <v>C2</v>
      </c>
    </row>
    <row r="48" spans="1:17">
      <c r="A48" t="s">
        <v>57</v>
      </c>
      <c r="B48">
        <v>7</v>
      </c>
      <c r="C48">
        <v>100</v>
      </c>
      <c r="D48">
        <v>58</v>
      </c>
      <c r="E48">
        <v>16</v>
      </c>
      <c r="M48" s="5" cm="1">
        <f t="array" ref="M48">SQRT(SUMXMY2($B48:$E48,H$3:H$6))</f>
        <v>97.9627480218884</v>
      </c>
      <c r="N48" s="5" cm="1">
        <f t="array" ref="N48">SQRT(SUMXMY2($B48:$E48,I$3:I$6))</f>
        <v>60.7532715168492</v>
      </c>
      <c r="O48" s="5" cm="1">
        <f t="array" ref="O48">SQRT(SUMXMY2($B48:$E48,J$3:J$6))</f>
        <v>12.6885775404495</v>
      </c>
      <c r="P48" s="5" cm="1">
        <f t="array" ref="P48">SQRT(SUMXMY2($B48:$E48,K$3:K$6))</f>
        <v>105.470374987482</v>
      </c>
      <c r="Q48" t="str">
        <f t="shared" si="1"/>
        <v>C3</v>
      </c>
    </row>
    <row r="49" spans="1:17">
      <c r="A49" t="s">
        <v>58</v>
      </c>
      <c r="B49">
        <v>1</v>
      </c>
      <c r="C49">
        <v>62</v>
      </c>
      <c r="D49">
        <v>73</v>
      </c>
      <c r="E49">
        <v>24</v>
      </c>
      <c r="M49" s="5" cm="1">
        <f t="array" ref="M49">SQRT(SUMXMY2($B49:$E49,H$3:H$6))</f>
        <v>79.9268415490066</v>
      </c>
      <c r="N49" s="5" cm="1">
        <f t="array" ref="N49">SQRT(SUMXMY2($B49:$E49,I$3:I$6))</f>
        <v>55.7419052419273</v>
      </c>
      <c r="O49" s="5" cm="1">
        <f t="array" ref="O49">SQRT(SUMXMY2($B49:$E49,J$3:J$6))</f>
        <v>45.5411901469428</v>
      </c>
      <c r="P49" s="5" cm="1">
        <f t="array" ref="P49">SQRT(SUMXMY2($B49:$E49,K$3:K$6))</f>
        <v>139.803433434233</v>
      </c>
      <c r="Q49" t="str">
        <f t="shared" si="1"/>
        <v>C3</v>
      </c>
    </row>
    <row r="50" spans="1:17">
      <c r="A50" t="s">
        <v>59</v>
      </c>
      <c r="B50">
        <v>5</v>
      </c>
      <c r="C50">
        <v>65</v>
      </c>
      <c r="D50">
        <v>34</v>
      </c>
      <c r="E50">
        <v>9</v>
      </c>
      <c r="M50" s="5" cm="1">
        <f t="array" ref="M50">SQRT(SUMXMY2($B50:$E50,H$3:H$6))</f>
        <v>55.579672543116</v>
      </c>
      <c r="N50" s="5" cm="1">
        <f t="array" ref="N50">SQRT(SUMXMY2($B50:$E50,I$3:I$6))</f>
        <v>18.4759302878096</v>
      </c>
      <c r="O50" s="5" cm="1">
        <f t="array" ref="O50">SQRT(SUMXMY2($B50:$E50,J$3:J$6))</f>
        <v>42.1070065428546</v>
      </c>
      <c r="P50" s="5" cm="1">
        <f t="array" ref="P50">SQRT(SUMXMY2($B50:$E50,K$3:K$6))</f>
        <v>146.294224082839</v>
      </c>
      <c r="Q50" t="str">
        <f t="shared" si="1"/>
        <v>C2</v>
      </c>
    </row>
    <row r="51" spans="1:17">
      <c r="A51" t="s">
        <v>60</v>
      </c>
      <c r="B51">
        <v>0</v>
      </c>
      <c r="C51">
        <v>0.1</v>
      </c>
      <c r="D51">
        <v>60</v>
      </c>
      <c r="E51">
        <v>11</v>
      </c>
      <c r="M51" s="5" cm="1">
        <f t="array" ref="M51">SQRT(SUMXMY2($B51:$E51,H$3:H$6))</f>
        <v>52.3288639280464</v>
      </c>
      <c r="N51" s="5" cm="1">
        <f t="array" ref="N51">SQRT(SUMXMY2($B51:$E51,I$3:I$6))</f>
        <v>66.5640293251543</v>
      </c>
      <c r="O51" s="5" cm="1">
        <f t="array" ref="O51">SQRT(SUMXMY2($B51:$E51,J$3:J$6))</f>
        <v>101.965729536938</v>
      </c>
      <c r="P51" s="5" cm="1">
        <f t="array" ref="P51">SQRT(SUMXMY2($B51:$E51,K$3:K$6))</f>
        <v>203.533805545909</v>
      </c>
      <c r="Q51" t="str">
        <f t="shared" si="1"/>
        <v>C1</v>
      </c>
    </row>
    <row r="52" spans="1:17">
      <c r="A52" t="s">
        <v>61</v>
      </c>
      <c r="B52">
        <v>6</v>
      </c>
      <c r="C52">
        <v>143</v>
      </c>
      <c r="D52">
        <v>51</v>
      </c>
      <c r="E52">
        <v>11</v>
      </c>
      <c r="M52" s="5" cm="1">
        <f t="array" ref="M52">SQRT(SUMXMY2($B52:$E52,H$3:H$6))</f>
        <v>134.491263656789</v>
      </c>
      <c r="N52" s="5" cm="1">
        <f t="array" ref="N52">SQRT(SUMXMY2($B52:$E52,I$3:I$6))</f>
        <v>95.1953780390624</v>
      </c>
      <c r="O52" s="5" cm="1">
        <f t="array" ref="O52">SQRT(SUMXMY2($B52:$E52,J$3:J$6))</f>
        <v>45.508241011931</v>
      </c>
      <c r="P52" s="5" cm="1">
        <f t="array" ref="P52">SQRT(SUMXMY2($B52:$E52,K$3:K$6))</f>
        <v>70.7954800817114</v>
      </c>
      <c r="Q52" t="str">
        <f t="shared" si="1"/>
        <v>C3</v>
      </c>
    </row>
  </sheetData>
  <mergeCells count="2">
    <mergeCell ref="G1:K1"/>
    <mergeCell ref="M1:P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tabSelected="1" workbookViewId="0">
      <selection activeCell="G10" sqref="G10:H10"/>
    </sheetView>
  </sheetViews>
  <sheetFormatPr defaultColWidth="9" defaultRowHeight="15"/>
  <cols>
    <col min="10" max="11" width="12.8571428571429"/>
    <col min="13" max="16" width="14.5714285714286"/>
    <col min="19" max="19" width="10.5714285714286" customWidth="1"/>
    <col min="20" max="20" width="10.4285714285714" customWidth="1"/>
  </cols>
  <sheetData>
    <row r="1" spans="6:18">
      <c r="F1">
        <f ca="1">_xlfn.SHEET(A1)-1</f>
        <v>1</v>
      </c>
      <c r="G1" s="4" t="s">
        <v>0</v>
      </c>
      <c r="H1" s="4"/>
      <c r="I1" s="4"/>
      <c r="J1" s="4"/>
      <c r="K1" s="4"/>
      <c r="M1" s="4" t="s">
        <v>1</v>
      </c>
      <c r="N1" s="4"/>
      <c r="O1" s="4"/>
      <c r="P1" s="4"/>
      <c r="R1">
        <v>1</v>
      </c>
    </row>
    <row r="2" spans="1:20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M2" t="s">
        <v>8</v>
      </c>
      <c r="N2" t="s">
        <v>9</v>
      </c>
      <c r="O2" t="s">
        <v>10</v>
      </c>
      <c r="P2" t="s">
        <v>11</v>
      </c>
      <c r="Q2" t="s">
        <v>7</v>
      </c>
      <c r="R2">
        <v>2</v>
      </c>
      <c r="S2" t="s">
        <v>62</v>
      </c>
      <c r="T2" t="s">
        <v>63</v>
      </c>
    </row>
    <row r="3" spans="1:20">
      <c r="A3" t="s">
        <v>12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3</v>
      </c>
      <c r="H3">
        <f ca="1">IFERROR(AVERAGEIFS(INDIRECT($F$1&amp;"!"&amp;ADDRESS(3,$F3,1)):INDIRECT($F$1&amp;"!"&amp;ADDRESS(52,$F3,1)),INDIRECT($F$1&amp;"!$Q$3"):INDIRECT($F$1&amp;"!$Q$52"),H$2),0)</f>
        <v>2</v>
      </c>
      <c r="I3">
        <f ca="1">IFERROR(AVERAGEIFS(INDIRECT($F$1&amp;"!"&amp;ADDRESS(3,$F3,1)):INDIRECT($F$1&amp;"!"&amp;ADDRESS(52,$F3,1)),INDIRECT($F$1&amp;"!$Q$3"):INDIRECT($F$1&amp;"!$Q$52"),I$2),0)</f>
        <v>2.82</v>
      </c>
      <c r="J3">
        <f ca="1">IFERROR(AVERAGEIFS(INDIRECT($F$1&amp;"!"&amp;ADDRESS(3,$F3,1)):INDIRECT($F$1&amp;"!"&amp;ADDRESS(52,$F3,1)),INDIRECT($F$1&amp;"!$Q$3"):INDIRECT($F$1&amp;"!$Q$52"),J$2),0)</f>
        <v>6.69230769230769</v>
      </c>
      <c r="K3">
        <f ca="1">IFERROR(AVERAGEIFS(INDIRECT($F$1&amp;"!"&amp;ADDRESS(3,$F3,1)):INDIRECT($F$1&amp;"!"&amp;ADDRESS(52,$F3,1)),INDIRECT($F$1&amp;"!$Q$3"):INDIRECT($F$1&amp;"!$Q$52"),K$2),0)</f>
        <v>9.78947368421053</v>
      </c>
      <c r="M3" s="5" cm="1">
        <f ca="1" t="array" ref="M3">SQRT(SUMXMY2($B3:$E3,H$3:H$6))</f>
        <v>189.36383465435</v>
      </c>
      <c r="N3" s="5" cm="1">
        <f ca="1" t="array" ref="N3">SQRT(SUMXMY2($B3:$E3,I$3:I$6))</f>
        <v>147.688260874045</v>
      </c>
      <c r="O3" s="5" cm="1">
        <f ca="1" t="array" ref="O3">SQRT(SUMXMY2($B3:$E3,J$3:J$6))</f>
        <v>86.0663704262193</v>
      </c>
      <c r="P3" s="5" cm="1">
        <f ca="1" t="array" ref="P3">SQRT(SUMXMY2($B3:$E3,K$3:K$6))</f>
        <v>27.033220560089</v>
      </c>
      <c r="Q3" t="str">
        <f ca="1">INDEX($M$2:$P$2,1,MATCH(MIN(M3:P3),M3:P3,0))</f>
        <v>C4</v>
      </c>
      <c r="R3">
        <v>3</v>
      </c>
      <c r="S3" t="str">
        <f ca="1">INDIRECT($F$1&amp;"!Q"&amp;R3)</f>
        <v>C4</v>
      </c>
      <c r="T3">
        <f ca="1">IF(Q3=S3,0,1)</f>
        <v>0</v>
      </c>
    </row>
    <row r="4" spans="1:20">
      <c r="A4" t="s">
        <v>13</v>
      </c>
      <c r="B4">
        <v>9</v>
      </c>
      <c r="C4">
        <v>222</v>
      </c>
      <c r="D4">
        <v>39</v>
      </c>
      <c r="E4">
        <v>42</v>
      </c>
      <c r="F4">
        <v>3</v>
      </c>
      <c r="G4" t="s">
        <v>4</v>
      </c>
      <c r="H4">
        <f ca="1">IFERROR(AVERAGEIFS(INDIRECT($F$1&amp;"!"&amp;ADDRESS(3,$F4,1)):INDIRECT($F$1&amp;"!"&amp;ADDRESS(52,$F4,1)),INDIRECT($F$1&amp;"!$Q$3"):INDIRECT($F$1&amp;"!$Q$52"),H$2),0)</f>
        <v>4.175</v>
      </c>
      <c r="I4">
        <f ca="1">IFERROR(AVERAGEIFS(INDIRECT($F$1&amp;"!"&amp;ADDRESS(3,$F4,1)):INDIRECT($F$1&amp;"!"&amp;ADDRESS(52,$F4,1)),INDIRECT($F$1&amp;"!$Q$3"):INDIRECT($F$1&amp;"!$Q$52"),I$2),0)</f>
        <v>45.9</v>
      </c>
      <c r="J4">
        <f ca="1">IFERROR(AVERAGEIFS(INDIRECT($F$1&amp;"!"&amp;ADDRESS(3,$F4,1)):INDIRECT($F$1&amp;"!"&amp;ADDRESS(52,$F4,1)),INDIRECT($F$1&amp;"!$Q$3"):INDIRECT($F$1&amp;"!$Q$52"),J$2),0)</f>
        <v>108.230769230769</v>
      </c>
      <c r="K4">
        <f ca="1">IFERROR(AVERAGEIFS(INDIRECT($F$1&amp;"!"&amp;ADDRESS(3,$F4,1)):INDIRECT($F$1&amp;"!"&amp;ADDRESS(52,$F4,1)),INDIRECT($F$1&amp;"!$Q$3"):INDIRECT($F$1&amp;"!$Q$52"),K$2),0)</f>
        <v>215.368421052632</v>
      </c>
      <c r="M4" s="5" cm="1">
        <f ca="1" t="array" ref="M4">SQRT(SUMXMY2($B4:$E4,H$3:H$6))</f>
        <v>220.539705892159</v>
      </c>
      <c r="N4" s="5" cm="1">
        <f ca="1" t="array" ref="N4">SQRT(SUMXMY2($B4:$E4,I$3:I$6))</f>
        <v>179.388244876859</v>
      </c>
      <c r="O4" s="5" cm="1">
        <f ca="1" t="array" ref="O4">SQRT(SUMXMY2($B4:$E4,J$3:J$6))</f>
        <v>118.804125005587</v>
      </c>
      <c r="P4" s="5" cm="1">
        <f ca="1" t="array" ref="P4">SQRT(SUMXMY2($B4:$E4,K$3:K$6))</f>
        <v>31.2579297418295</v>
      </c>
      <c r="Q4" t="str">
        <f ca="1">INDEX($M$2:$P$2,1,MATCH(MIN(M4:P4),M4:P4,0))</f>
        <v>C4</v>
      </c>
      <c r="R4">
        <v>4</v>
      </c>
      <c r="S4" t="str">
        <f ca="1">INDIRECT($F$1&amp;"!Q"&amp;R4)</f>
        <v>C4</v>
      </c>
      <c r="T4">
        <f ca="1" t="shared" ref="T3:T52" si="0">IF(Q4=S4,0,1)</f>
        <v>0</v>
      </c>
    </row>
    <row r="5" spans="1:20">
      <c r="A5" t="s">
        <v>14</v>
      </c>
      <c r="B5">
        <v>6</v>
      </c>
      <c r="C5">
        <v>226</v>
      </c>
      <c r="D5">
        <v>72</v>
      </c>
      <c r="E5">
        <v>30</v>
      </c>
      <c r="F5">
        <v>4</v>
      </c>
      <c r="G5" t="s">
        <v>5</v>
      </c>
      <c r="H5">
        <f ca="1">IFERROR(AVERAGEIFS(INDIRECT($F$1&amp;"!"&amp;ADDRESS(3,$F5,1)):INDIRECT($F$1&amp;"!"&amp;ADDRESS(52,$F5,1)),INDIRECT($F$1&amp;"!$Q$3"):INDIRECT($F$1&amp;"!$Q$52"),H$2),0)</f>
        <v>52.125</v>
      </c>
      <c r="I5">
        <f ca="1">IFERROR(AVERAGEIFS(INDIRECT($F$1&amp;"!"&amp;ADDRESS(3,$F5,1)):INDIRECT($F$1&amp;"!"&amp;ADDRESS(52,$F5,1)),INDIRECT($F$1&amp;"!$Q$3"):INDIRECT($F$1&amp;"!$Q$52"),I$2),0)</f>
        <v>55.5</v>
      </c>
      <c r="J5">
        <f ca="1">IFERROR(AVERAGEIFS(INDIRECT($F$1&amp;"!"&amp;ADDRESS(3,$F5,1)):INDIRECT($F$1&amp;"!"&amp;ADDRESS(52,$F5,1)),INDIRECT($F$1&amp;"!$Q$3"):INDIRECT($F$1&amp;"!$Q$52"),J$2),0)</f>
        <v>64.8461538461538</v>
      </c>
      <c r="K5">
        <f ca="1">IFERROR(AVERAGEIFS(INDIRECT($F$1&amp;"!"&amp;ADDRESS(3,$F5,1)):INDIRECT($F$1&amp;"!"&amp;ADDRESS(52,$F5,1)),INDIRECT($F$1&amp;"!$Q$3"):INDIRECT($F$1&amp;"!$Q$52"),K$2),0)</f>
        <v>65.1052631578947</v>
      </c>
      <c r="M5" s="5" cm="1">
        <f ca="1" t="array" ref="M5">SQRT(SUMXMY2($B5:$E5,H$3:H$6))</f>
        <v>223.569031565197</v>
      </c>
      <c r="N5" s="5" cm="1">
        <f ca="1" t="array" ref="N5">SQRT(SUMXMY2($B5:$E5,I$3:I$6))</f>
        <v>181.707628898734</v>
      </c>
      <c r="O5" s="5" cm="1">
        <f ca="1" t="array" ref="O5">SQRT(SUMXMY2($B5:$E5,J$3:J$6))</f>
        <v>118.437734871198</v>
      </c>
      <c r="P5" s="5" cm="1">
        <f ca="1" t="array" ref="P5">SQRT(SUMXMY2($B5:$E5,K$3:K$6))</f>
        <v>13.7727902290175</v>
      </c>
      <c r="Q5" t="str">
        <f ca="1">INDEX($M$2:$P$2,1,MATCH(MIN(M5:P5),M5:P5,0))</f>
        <v>C4</v>
      </c>
      <c r="R5">
        <v>5</v>
      </c>
      <c r="S5" t="str">
        <f ca="1">INDIRECT($F$1&amp;"!Q"&amp;R5)</f>
        <v>C4</v>
      </c>
      <c r="T5">
        <f ca="1" t="shared" si="0"/>
        <v>0</v>
      </c>
    </row>
    <row r="6" spans="1:20">
      <c r="A6" t="s">
        <v>15</v>
      </c>
      <c r="B6">
        <v>8</v>
      </c>
      <c r="C6">
        <v>177</v>
      </c>
      <c r="D6">
        <v>50</v>
      </c>
      <c r="E6">
        <v>17</v>
      </c>
      <c r="F6">
        <v>5</v>
      </c>
      <c r="G6" t="s">
        <v>6</v>
      </c>
      <c r="H6">
        <f ca="1">IFERROR(AVERAGEIFS(INDIRECT($F$1&amp;"!"&amp;ADDRESS(3,$F6,1)):INDIRECT($F$1&amp;"!"&amp;ADDRESS(52,$F6,1)),INDIRECT($F$1&amp;"!$Q$3"):INDIRECT($F$1&amp;"!$Q$52"),H$2),0)</f>
        <v>10.875</v>
      </c>
      <c r="I6">
        <f ca="1">IFERROR(AVERAGEIFS(INDIRECT($F$1&amp;"!"&amp;ADDRESS(3,$F6,1)):INDIRECT($F$1&amp;"!"&amp;ADDRESS(52,$F6,1)),INDIRECT($F$1&amp;"!$Q$3"):INDIRECT($F$1&amp;"!$Q$52"),I$2),0)</f>
        <v>12.7</v>
      </c>
      <c r="J6">
        <f ca="1">IFERROR(AVERAGEIFS(INDIRECT($F$1&amp;"!"&amp;ADDRESS(3,$F6,1)):INDIRECT($F$1&amp;"!"&amp;ADDRESS(52,$F6,1)),INDIRECT($F$1&amp;"!$Q$3"):INDIRECT($F$1&amp;"!$Q$52"),J$2),0)</f>
        <v>19.6923076923077</v>
      </c>
      <c r="K6">
        <f ca="1">IFERROR(AVERAGEIFS(INDIRECT($F$1&amp;"!"&amp;ADDRESS(3,$F6,1)):INDIRECT($F$1&amp;"!"&amp;ADDRESS(52,$F6,1)),INDIRECT($F$1&amp;"!$Q$3"):INDIRECT($F$1&amp;"!$Q$52"),K$2),0)</f>
        <v>26.1578947368421</v>
      </c>
      <c r="M6" s="5" cm="1">
        <f ca="1" t="array" ref="M6">SQRT(SUMXMY2($B6:$E6,H$3:H$6))</f>
        <v>173.050604954158</v>
      </c>
      <c r="N6" s="5" cm="1">
        <f ca="1" t="array" ref="N6">SQRT(SUMXMY2($B6:$E6,I$3:I$6))</f>
        <v>131.387908119431</v>
      </c>
      <c r="O6" s="5" cm="1">
        <f ca="1" t="array" ref="O6">SQRT(SUMXMY2($B6:$E6,J$3:J$6))</f>
        <v>70.4171425470889</v>
      </c>
      <c r="P6" s="5" cm="1">
        <f ca="1" t="array" ref="P6">SQRT(SUMXMY2($B6:$E6,K$3:K$6))</f>
        <v>42.2773457210695</v>
      </c>
      <c r="Q6" t="str">
        <f ca="1">INDEX($M$2:$P$2,1,MATCH(MIN(M6:P6),M6:P6,0))</f>
        <v>C4</v>
      </c>
      <c r="R6">
        <v>6</v>
      </c>
      <c r="S6" t="str">
        <f ca="1">INDIRECT($F$1&amp;"!Q"&amp;R6)</f>
        <v>C4</v>
      </c>
      <c r="T6">
        <f ca="1" t="shared" si="0"/>
        <v>0</v>
      </c>
    </row>
    <row r="7" spans="1:20">
      <c r="A7" t="s">
        <v>16</v>
      </c>
      <c r="B7">
        <v>7</v>
      </c>
      <c r="C7">
        <v>235</v>
      </c>
      <c r="D7">
        <v>86</v>
      </c>
      <c r="E7">
        <v>39</v>
      </c>
      <c r="M7" s="5" cm="1">
        <f ca="1" t="array" ref="M7">SQRT(SUMXMY2($B7:$E7,H$3:H$6))</f>
        <v>235.039809128156</v>
      </c>
      <c r="N7" s="5" cm="1">
        <f ca="1" t="array" ref="N7">SQRT(SUMXMY2($B7:$E7,I$3:I$6))</f>
        <v>193.386200128137</v>
      </c>
      <c r="O7" s="5" cm="1">
        <f ca="1" t="array" ref="O7">SQRT(SUMXMY2($B7:$E7,J$3:J$6))</f>
        <v>129.964628779248</v>
      </c>
      <c r="P7" s="5" cm="1">
        <f ca="1" t="array" ref="P7">SQRT(SUMXMY2($B7:$E7,K$3:K$6))</f>
        <v>31.5387024256313</v>
      </c>
      <c r="Q7" t="str">
        <f ca="1">INDEX($M$2:$P$2,1,MATCH(MIN(M7:P7),M7:P7,0))</f>
        <v>C4</v>
      </c>
      <c r="R7">
        <v>7</v>
      </c>
      <c r="S7" t="str">
        <f ca="1">INDIRECT($F$1&amp;"!Q"&amp;R7)</f>
        <v>C4</v>
      </c>
      <c r="T7">
        <f ca="1" t="shared" si="0"/>
        <v>0</v>
      </c>
    </row>
    <row r="8" spans="1:20">
      <c r="A8" t="s">
        <v>17</v>
      </c>
      <c r="B8">
        <v>5</v>
      </c>
      <c r="C8">
        <v>170</v>
      </c>
      <c r="D8">
        <v>78</v>
      </c>
      <c r="E8">
        <v>37</v>
      </c>
      <c r="M8" s="5" cm="1">
        <f ca="1" t="array" ref="M8">SQRT(SUMXMY2($B8:$E8,H$3:H$6))</f>
        <v>169.879256753142</v>
      </c>
      <c r="N8" s="5" cm="1">
        <f ca="1" t="array" ref="N8">SQRT(SUMXMY2($B8:$E8,I$3:I$6))</f>
        <v>128.461287553877</v>
      </c>
      <c r="O8" s="5" cm="1">
        <f ca="1" t="array" ref="O8">SQRT(SUMXMY2($B8:$E8,J$3:J$6))</f>
        <v>65.5048216302032</v>
      </c>
      <c r="P8" s="5" cm="1">
        <f ca="1" t="array" ref="P8">SQRT(SUMXMY2($B8:$E8,K$3:K$6))</f>
        <v>48.6318637494509</v>
      </c>
      <c r="Q8" t="str">
        <f ca="1">INDEX($M$2:$P$2,1,MATCH(MIN(M8:P8),M8:P8,0))</f>
        <v>C4</v>
      </c>
      <c r="R8">
        <v>8</v>
      </c>
      <c r="S8" t="str">
        <f ca="1">INDIRECT($F$1&amp;"!Q"&amp;R8)</f>
        <v>C4</v>
      </c>
      <c r="T8">
        <f ca="1" t="shared" si="0"/>
        <v>0</v>
      </c>
    </row>
    <row r="9" spans="1:20">
      <c r="A9" t="s">
        <v>18</v>
      </c>
      <c r="B9">
        <v>0</v>
      </c>
      <c r="C9">
        <v>35</v>
      </c>
      <c r="D9">
        <v>75</v>
      </c>
      <c r="E9">
        <v>7</v>
      </c>
      <c r="M9" s="5" cm="1">
        <f ca="1" t="array" ref="M9">SQRT(SUMXMY2($B9:$E9,H$3:H$6))</f>
        <v>38.6323941142663</v>
      </c>
      <c r="N9" s="5" cm="1">
        <f ca="1" t="array" ref="N9">SQRT(SUMXMY2($B9:$E9,I$3:I$6))</f>
        <v>23.2271909623183</v>
      </c>
      <c r="O9" s="5" cm="1">
        <f ca="1" t="array" ref="O9">SQRT(SUMXMY2($B9:$E9,J$3:J$6))</f>
        <v>75.3108744515086</v>
      </c>
      <c r="P9" s="5" cm="1">
        <f ca="1" t="array" ref="P9">SQRT(SUMXMY2($B9:$E9,K$3:K$6))</f>
        <v>181.916277050614</v>
      </c>
      <c r="Q9" t="str">
        <f ca="1">INDEX($M$2:$P$2,1,MATCH(MIN(M9:P9),M9:P9,0))</f>
        <v>C2</v>
      </c>
      <c r="R9">
        <v>9</v>
      </c>
      <c r="S9" t="str">
        <f ca="1">INDIRECT($F$1&amp;"!Q"&amp;R9)</f>
        <v>C2</v>
      </c>
      <c r="T9">
        <f ca="1" t="shared" si="0"/>
        <v>0</v>
      </c>
    </row>
    <row r="10" spans="1:20">
      <c r="A10" t="s">
        <v>19</v>
      </c>
      <c r="B10">
        <v>4</v>
      </c>
      <c r="C10">
        <v>198</v>
      </c>
      <c r="D10">
        <v>70</v>
      </c>
      <c r="E10">
        <v>15</v>
      </c>
      <c r="G10" s="4" t="s">
        <v>64</v>
      </c>
      <c r="H10" s="4"/>
      <c r="I10" s="6">
        <f ca="1">SUM(T3:T52)</f>
        <v>4</v>
      </c>
      <c r="M10" s="5" cm="1">
        <f ca="1" t="array" ref="M10">SQRT(SUMXMY2($B10:$E10,H$3:H$6))</f>
        <v>194.701468600008</v>
      </c>
      <c r="N10" s="5" cm="1">
        <f ca="1" t="array" ref="N10">SQRT(SUMXMY2($B10:$E10,I$3:I$6))</f>
        <v>152.811460303212</v>
      </c>
      <c r="O10" s="5" cm="1">
        <f ca="1" t="array" ref="O10">SQRT(SUMXMY2($B10:$E10,J$3:J$6))</f>
        <v>90.0796491737522</v>
      </c>
      <c r="P10" s="5" cm="1">
        <f ca="1" t="array" ref="P10">SQRT(SUMXMY2($B10:$E10,K$3:K$6))</f>
        <v>21.9917511606869</v>
      </c>
      <c r="Q10" t="str">
        <f ca="1">INDEX($M$2:$P$2,1,MATCH(MIN(M10:P10),M10:P10,0))</f>
        <v>C4</v>
      </c>
      <c r="R10">
        <v>10</v>
      </c>
      <c r="S10" t="str">
        <f ca="1">INDIRECT($F$1&amp;"!Q"&amp;R10)</f>
        <v>C4</v>
      </c>
      <c r="T10">
        <f ca="1" t="shared" si="0"/>
        <v>0</v>
      </c>
    </row>
    <row r="11" spans="1:20">
      <c r="A11" t="s">
        <v>20</v>
      </c>
      <c r="B11">
        <v>13</v>
      </c>
      <c r="C11">
        <v>259</v>
      </c>
      <c r="D11">
        <v>74</v>
      </c>
      <c r="E11">
        <v>30</v>
      </c>
      <c r="M11" s="5" cm="1">
        <f ca="1" t="array" ref="M11">SQRT(SUMXMY2($B11:$E11,H$3:H$6))</f>
        <v>256.712021290395</v>
      </c>
      <c r="N11" s="5" cm="1">
        <f ca="1" t="array" ref="N11">SQRT(SUMXMY2($B11:$E11,I$3:I$6))</f>
        <v>214.841295844165</v>
      </c>
      <c r="O11" s="5" cm="1">
        <f ca="1" t="array" ref="O11">SQRT(SUMXMY2($B11:$E11,J$3:J$6))</f>
        <v>151.529499930253</v>
      </c>
      <c r="P11" s="5" cm="1">
        <f ca="1" t="array" ref="P11">SQRT(SUMXMY2($B11:$E11,K$3:K$6))</f>
        <v>44.8096002772655</v>
      </c>
      <c r="Q11" t="str">
        <f ca="1">INDEX($M$2:$P$2,1,MATCH(MIN(M11:P11),M11:P11,0))</f>
        <v>C4</v>
      </c>
      <c r="R11">
        <v>11</v>
      </c>
      <c r="S11" t="str">
        <f ca="1">INDIRECT($F$1&amp;"!Q"&amp;R11)</f>
        <v>C4</v>
      </c>
      <c r="T11">
        <f ca="1" t="shared" si="0"/>
        <v>0</v>
      </c>
    </row>
    <row r="12" spans="1:20">
      <c r="A12" t="s">
        <v>21</v>
      </c>
      <c r="B12">
        <v>15</v>
      </c>
      <c r="C12">
        <v>136</v>
      </c>
      <c r="D12">
        <v>52</v>
      </c>
      <c r="E12">
        <v>24</v>
      </c>
      <c r="M12" s="5" cm="1">
        <f ca="1" t="array" ref="M12">SQRT(SUMXMY2($B12:$E12,H$3:H$6))</f>
        <v>133.113154402561</v>
      </c>
      <c r="N12" s="5" cm="1">
        <f ca="1" t="array" ref="N12">SQRT(SUMXMY2($B12:$E12,I$3:I$6))</f>
        <v>91.6858898631627</v>
      </c>
      <c r="O12" s="5" cm="1">
        <f ca="1" t="array" ref="O12">SQRT(SUMXMY2($B12:$E12,J$3:J$6))</f>
        <v>31.9957467587629</v>
      </c>
      <c r="P12" s="5" cm="1">
        <f ca="1" t="array" ref="P12">SQRT(SUMXMY2($B12:$E12,K$3:K$6))</f>
        <v>80.6405622314745</v>
      </c>
      <c r="Q12" t="str">
        <f ca="1">INDEX($M$2:$P$2,1,MATCH(MIN(M12:P12),M12:P12,0))</f>
        <v>C3</v>
      </c>
      <c r="R12">
        <v>12</v>
      </c>
      <c r="S12" t="str">
        <f ca="1">INDIRECT($F$1&amp;"!Q"&amp;R12)</f>
        <v>C3</v>
      </c>
      <c r="T12">
        <f ca="1" t="shared" si="0"/>
        <v>0</v>
      </c>
    </row>
    <row r="13" spans="1:20">
      <c r="A13" t="s">
        <v>22</v>
      </c>
      <c r="B13">
        <v>5</v>
      </c>
      <c r="C13">
        <v>32</v>
      </c>
      <c r="D13">
        <v>82</v>
      </c>
      <c r="E13">
        <v>17</v>
      </c>
      <c r="M13" s="5" cm="1">
        <f ca="1" t="array" ref="M13">SQRT(SUMXMY2($B13:$E13,H$3:H$6))</f>
        <v>41.3915676799031</v>
      </c>
      <c r="N13" s="5" cm="1">
        <f ca="1" t="array" ref="N13">SQRT(SUMXMY2($B13:$E13,I$3:I$6))</f>
        <v>30.3101039259188</v>
      </c>
      <c r="O13" s="5" cm="1">
        <f ca="1" t="array" ref="O13">SQRT(SUMXMY2($B13:$E13,J$3:J$6))</f>
        <v>78.2016434700711</v>
      </c>
      <c r="P13" s="5" cm="1">
        <f ca="1" t="array" ref="P13">SQRT(SUMXMY2($B13:$E13,K$3:K$6))</f>
        <v>184.434855888148</v>
      </c>
      <c r="Q13" t="str">
        <f ca="1">INDEX($M$2:$P$2,1,MATCH(MIN(M13:P13),M13:P13,0))</f>
        <v>C2</v>
      </c>
      <c r="R13">
        <v>13</v>
      </c>
      <c r="S13" t="str">
        <f ca="1">INDIRECT($F$1&amp;"!Q"&amp;R13)</f>
        <v>C2</v>
      </c>
      <c r="T13">
        <f ca="1" t="shared" si="0"/>
        <v>0</v>
      </c>
    </row>
    <row r="14" spans="1:20">
      <c r="A14" t="s">
        <v>23</v>
      </c>
      <c r="B14">
        <v>0</v>
      </c>
      <c r="C14">
        <v>54</v>
      </c>
      <c r="D14">
        <v>47</v>
      </c>
      <c r="E14">
        <v>12</v>
      </c>
      <c r="M14" s="5" cm="1">
        <f ca="1" t="array" ref="M14">SQRT(SUMXMY2($B14:$E14,H$3:H$6))</f>
        <v>50.1404215678329</v>
      </c>
      <c r="N14" s="5" cm="1">
        <f ca="1" t="array" ref="N14">SQRT(SUMXMY2($B14:$E14,I$3:I$6))</f>
        <v>12.09555290179</v>
      </c>
      <c r="O14" s="5" cm="1">
        <f ca="1" t="array" ref="O14">SQRT(SUMXMY2($B14:$E14,J$3:J$6))</f>
        <v>57.9950008047521</v>
      </c>
      <c r="P14" s="5" cm="1">
        <f ca="1" t="array" ref="P14">SQRT(SUMXMY2($B14:$E14,K$3:K$6))</f>
        <v>163.290684502911</v>
      </c>
      <c r="Q14" t="str">
        <f ca="1">INDEX($M$2:$P$2,1,MATCH(MIN(M14:P14),M14:P14,0))</f>
        <v>C2</v>
      </c>
      <c r="R14">
        <v>14</v>
      </c>
      <c r="S14" t="str">
        <f ca="1">INDIRECT($F$1&amp;"!Q"&amp;R14)</f>
        <v>C2</v>
      </c>
      <c r="T14">
        <f ca="1" t="shared" si="0"/>
        <v>0</v>
      </c>
    </row>
    <row r="15" spans="1:20">
      <c r="A15" t="s">
        <v>24</v>
      </c>
      <c r="B15">
        <v>10</v>
      </c>
      <c r="C15">
        <v>218</v>
      </c>
      <c r="D15">
        <v>79</v>
      </c>
      <c r="E15">
        <v>20</v>
      </c>
      <c r="M15" s="5" cm="1">
        <f ca="1" t="array" ref="M15">SQRT(SUMXMY2($B15:$E15,H$3:H$6))</f>
        <v>215.848701351201</v>
      </c>
      <c r="N15" s="5" cm="1">
        <f ca="1" t="array" ref="N15">SQRT(SUMXMY2($B15:$E15,I$3:I$6))</f>
        <v>173.998570109067</v>
      </c>
      <c r="O15" s="5" cm="1">
        <f ca="1" t="array" ref="O15">SQRT(SUMXMY2($B15:$E15,J$3:J$6))</f>
        <v>110.727823457223</v>
      </c>
      <c r="P15" s="5" cm="1">
        <f ca="1" t="array" ref="P15">SQRT(SUMXMY2($B15:$E15,K$3:K$6))</f>
        <v>15.425722303583</v>
      </c>
      <c r="Q15" t="str">
        <f ca="1">INDEX($M$2:$P$2,1,MATCH(MIN(M15:P15),M15:P15,0))</f>
        <v>C4</v>
      </c>
      <c r="R15">
        <v>15</v>
      </c>
      <c r="S15" t="str">
        <f ca="1">INDIRECT($F$1&amp;"!Q"&amp;R15)</f>
        <v>C4</v>
      </c>
      <c r="T15">
        <f ca="1" t="shared" si="0"/>
        <v>0</v>
      </c>
    </row>
    <row r="16" spans="1:20">
      <c r="A16" t="s">
        <v>25</v>
      </c>
      <c r="B16">
        <v>7</v>
      </c>
      <c r="C16">
        <v>26</v>
      </c>
      <c r="D16">
        <v>65</v>
      </c>
      <c r="E16">
        <v>19</v>
      </c>
      <c r="M16" s="5" cm="1">
        <f ca="1" t="array" ref="M16">SQRT(SUMXMY2($B16:$E16,H$3:H$6))</f>
        <v>27.0760387612368</v>
      </c>
      <c r="N16" s="5" cm="1">
        <f ca="1" t="array" ref="N16">SQRT(SUMXMY2($B16:$E16,I$3:I$6))</f>
        <v>23.3114220930427</v>
      </c>
      <c r="O16" s="5" cm="1">
        <f ca="1" t="array" ref="O16">SQRT(SUMXMY2($B16:$E16,J$3:J$6))</f>
        <v>82.2344030282954</v>
      </c>
      <c r="P16" s="5" cm="1">
        <f ca="1" t="array" ref="P16">SQRT(SUMXMY2($B16:$E16,K$3:K$6))</f>
        <v>189.524211099262</v>
      </c>
      <c r="Q16" t="str">
        <f ca="1">INDEX($M$2:$P$2,1,MATCH(MIN(M16:P16),M16:P16,0))</f>
        <v>C2</v>
      </c>
      <c r="R16">
        <v>16</v>
      </c>
      <c r="S16" t="str">
        <f ca="1">INDIRECT($F$1&amp;"!Q"&amp;R16)</f>
        <v>C2</v>
      </c>
      <c r="T16">
        <f ca="1" t="shared" si="0"/>
        <v>0</v>
      </c>
    </row>
    <row r="17" spans="1:20">
      <c r="A17" t="s">
        <v>26</v>
      </c>
      <c r="B17">
        <v>2</v>
      </c>
      <c r="C17">
        <v>0.1</v>
      </c>
      <c r="D17">
        <v>53</v>
      </c>
      <c r="E17">
        <v>9</v>
      </c>
      <c r="M17" s="5" cm="1">
        <f ca="1" t="array" ref="M17">SQRT(SUMXMY2($B17:$E17,H$3:H$6))</f>
        <v>4.5702160780427</v>
      </c>
      <c r="N17" s="5" cm="1">
        <f ca="1" t="array" ref="N17">SQRT(SUMXMY2($B17:$E17,I$3:I$6))</f>
        <v>46.0244760969639</v>
      </c>
      <c r="O17" s="5" cm="1">
        <f ca="1" t="array" ref="O17">SQRT(SUMXMY2($B17:$E17,J$3:J$6))</f>
        <v>109.40264078463</v>
      </c>
      <c r="P17" s="5" cm="1">
        <f ca="1" t="array" ref="P17">SQRT(SUMXMY2($B17:$E17,K$3:K$6))</f>
        <v>216.430357738217</v>
      </c>
      <c r="Q17" t="str">
        <f ca="1">INDEX($M$2:$P$2,1,MATCH(MIN(M17:P17),M17:P17,0))</f>
        <v>C1</v>
      </c>
      <c r="R17">
        <v>17</v>
      </c>
      <c r="S17" t="str">
        <f ca="1">INDIRECT($F$1&amp;"!Q"&amp;R17)</f>
        <v>C1</v>
      </c>
      <c r="T17">
        <f ca="1" t="shared" si="0"/>
        <v>0</v>
      </c>
    </row>
    <row r="18" spans="1:20">
      <c r="A18" t="s">
        <v>27</v>
      </c>
      <c r="B18">
        <v>3</v>
      </c>
      <c r="C18">
        <v>80</v>
      </c>
      <c r="D18">
        <v>56</v>
      </c>
      <c r="E18">
        <v>16</v>
      </c>
      <c r="M18" s="5" cm="1">
        <f ca="1" t="array" ref="M18">SQRT(SUMXMY2($B18:$E18,H$3:H$6))</f>
        <v>76.1032973989958</v>
      </c>
      <c r="N18" s="5" cm="1">
        <f ca="1" t="array" ref="N18">SQRT(SUMXMY2($B18:$E18,I$3:I$6))</f>
        <v>34.2634265653627</v>
      </c>
      <c r="O18" s="5" cm="1">
        <f ca="1" t="array" ref="O18">SQRT(SUMXMY2($B18:$E18,J$3:J$6))</f>
        <v>30.0415885302378</v>
      </c>
      <c r="P18" s="5" cm="1">
        <f ca="1" t="array" ref="P18">SQRT(SUMXMY2($B18:$E18,K$3:K$6))</f>
        <v>136.223327715375</v>
      </c>
      <c r="Q18" t="str">
        <f ca="1">INDEX($M$2:$P$2,1,MATCH(MIN(M18:P18),M18:P18,0))</f>
        <v>C3</v>
      </c>
      <c r="R18">
        <v>18</v>
      </c>
      <c r="S18" t="str">
        <f ca="1">INDIRECT($F$1&amp;"!Q"&amp;R18)</f>
        <v>C3</v>
      </c>
      <c r="T18">
        <f ca="1" t="shared" si="0"/>
        <v>0</v>
      </c>
    </row>
    <row r="19" spans="1:20">
      <c r="A19" t="s">
        <v>28</v>
      </c>
      <c r="B19">
        <v>7</v>
      </c>
      <c r="C19">
        <v>70</v>
      </c>
      <c r="D19">
        <v>43</v>
      </c>
      <c r="E19">
        <v>15</v>
      </c>
      <c r="M19" s="5" cm="1">
        <f ca="1" t="array" ref="M19">SQRT(SUMXMY2($B19:$E19,H$3:H$6))</f>
        <v>66.7698425563517</v>
      </c>
      <c r="N19" s="5" cm="1">
        <f ca="1" t="array" ref="N19">SQRT(SUMXMY2($B19:$E19,I$3:I$6))</f>
        <v>27.5648762014271</v>
      </c>
      <c r="O19" s="5" cm="1">
        <f ca="1" t="array" ref="O19">SQRT(SUMXMY2($B19:$E19,J$3:J$6))</f>
        <v>44.2827119752354</v>
      </c>
      <c r="P19" s="5" cm="1">
        <f ca="1" t="array" ref="P19">SQRT(SUMXMY2($B19:$E19,K$3:K$6))</f>
        <v>147.488644569703</v>
      </c>
      <c r="Q19" t="str">
        <f ca="1">INDEX($M$2:$P$2,1,MATCH(MIN(M19:P19),M19:P19,0))</f>
        <v>C2</v>
      </c>
      <c r="R19">
        <v>19</v>
      </c>
      <c r="S19" t="str">
        <f ca="1">INDIRECT($F$1&amp;"!Q"&amp;R19)</f>
        <v>C2</v>
      </c>
      <c r="T19">
        <f ca="1" t="shared" si="0"/>
        <v>0</v>
      </c>
    </row>
    <row r="20" spans="1:20">
      <c r="A20" t="s">
        <v>29</v>
      </c>
      <c r="B20">
        <v>15</v>
      </c>
      <c r="C20">
        <v>159</v>
      </c>
      <c r="D20">
        <v>61</v>
      </c>
      <c r="E20">
        <v>19</v>
      </c>
      <c r="M20" s="5" cm="1">
        <f ca="1" t="array" ref="M20">SQRT(SUMXMY2($B20:$E20,H$3:H$6))</f>
        <v>155.835047004838</v>
      </c>
      <c r="N20" s="5" cm="1">
        <f ca="1" t="array" ref="N20">SQRT(SUMXMY2($B20:$E20,I$3:I$6))</f>
        <v>114.060959140277</v>
      </c>
      <c r="O20" s="5" cm="1">
        <f ca="1" t="array" ref="O20">SQRT(SUMXMY2($B20:$E20,J$3:J$6))</f>
        <v>51.5926810093041</v>
      </c>
      <c r="P20" s="5" cm="1">
        <f ca="1" t="array" ref="P20">SQRT(SUMXMY2($B20:$E20,K$3:K$6))</f>
        <v>57.2069674000779</v>
      </c>
      <c r="Q20" t="str">
        <f ca="1">INDEX($M$2:$P$2,1,MATCH(MIN(M20:P20),M20:P20,0))</f>
        <v>C3</v>
      </c>
      <c r="R20">
        <v>20</v>
      </c>
      <c r="S20" t="str">
        <f ca="1">INDIRECT($F$1&amp;"!Q"&amp;R20)</f>
        <v>C4</v>
      </c>
      <c r="T20">
        <f ca="1" t="shared" si="0"/>
        <v>1</v>
      </c>
    </row>
    <row r="21" spans="1:20">
      <c r="A21" t="s">
        <v>30</v>
      </c>
      <c r="B21">
        <v>1</v>
      </c>
      <c r="C21">
        <v>0.1</v>
      </c>
      <c r="D21">
        <v>45</v>
      </c>
      <c r="E21">
        <v>7</v>
      </c>
      <c r="M21" s="5" cm="1">
        <f ca="1" t="array" ref="M21">SQRT(SUMXMY2($B21:$E21,H$3:H$6))</f>
        <v>9.13164141871548</v>
      </c>
      <c r="N21" s="5" cm="1">
        <f ca="1" t="array" ref="N21">SQRT(SUMXMY2($B21:$E21,I$3:I$6))</f>
        <v>47.3676302974932</v>
      </c>
      <c r="O21" s="5" cm="1">
        <f ca="1" t="array" ref="O21">SQRT(SUMXMY2($B21:$E21,J$3:J$6))</f>
        <v>110.81349249231</v>
      </c>
      <c r="P21" s="5" cm="1">
        <f ca="1" t="array" ref="P21">SQRT(SUMXMY2($B21:$E21,K$3:K$6))</f>
        <v>217.230279858805</v>
      </c>
      <c r="Q21" t="str">
        <f ca="1">INDEX($M$2:$P$2,1,MATCH(MIN(M21:P21),M21:P21,0))</f>
        <v>C1</v>
      </c>
      <c r="R21">
        <v>21</v>
      </c>
      <c r="S21" t="str">
        <f ca="1">INDIRECT($F$1&amp;"!Q"&amp;R21)</f>
        <v>C1</v>
      </c>
      <c r="T21">
        <f ca="1" t="shared" si="0"/>
        <v>0</v>
      </c>
    </row>
    <row r="22" spans="1:20">
      <c r="A22" t="s">
        <v>31</v>
      </c>
      <c r="B22">
        <v>10</v>
      </c>
      <c r="C22">
        <v>260</v>
      </c>
      <c r="D22">
        <v>63</v>
      </c>
      <c r="E22">
        <v>28</v>
      </c>
      <c r="M22" s="5" cm="1">
        <f ca="1" t="array" ref="M22">SQRT(SUMXMY2($B22:$E22,H$3:H$6))</f>
        <v>256.752725155937</v>
      </c>
      <c r="N22" s="5" cm="1">
        <f ca="1" t="array" ref="N22">SQRT(SUMXMY2($B22:$E22,I$3:I$6))</f>
        <v>214.896957633188</v>
      </c>
      <c r="O22" s="5" cm="1">
        <f ca="1" t="array" ref="O22">SQRT(SUMXMY2($B22:$E22,J$3:J$6))</f>
        <v>152.043632790687</v>
      </c>
      <c r="P22" s="5" cm="1">
        <f ca="1" t="array" ref="P22">SQRT(SUMXMY2($B22:$E22,K$3:K$6))</f>
        <v>44.7196561416718</v>
      </c>
      <c r="Q22" t="str">
        <f ca="1">INDEX($M$2:$P$2,1,MATCH(MIN(M22:P22),M22:P22,0))</f>
        <v>C4</v>
      </c>
      <c r="R22">
        <v>22</v>
      </c>
      <c r="S22" t="str">
        <f ca="1">INDIRECT($F$1&amp;"!Q"&amp;R22)</f>
        <v>C4</v>
      </c>
      <c r="T22">
        <f ca="1" t="shared" si="0"/>
        <v>0</v>
      </c>
    </row>
    <row r="23" spans="1:20">
      <c r="A23" t="s">
        <v>32</v>
      </c>
      <c r="B23">
        <v>2</v>
      </c>
      <c r="C23">
        <v>138</v>
      </c>
      <c r="D23">
        <v>82</v>
      </c>
      <c r="E23">
        <v>13</v>
      </c>
      <c r="M23" s="5" cm="1">
        <f ca="1" t="array" ref="M23">SQRT(SUMXMY2($B23:$E23,H$3:H$6))</f>
        <v>137.135560213243</v>
      </c>
      <c r="N23" s="5" cm="1">
        <f ca="1" t="array" ref="N23">SQRT(SUMXMY2($B23:$E23,I$3:I$6))</f>
        <v>95.8406093469778</v>
      </c>
      <c r="O23" s="5" cm="1">
        <f ca="1" t="array" ref="O23">SQRT(SUMXMY2($B23:$E23,J$3:J$6))</f>
        <v>35.3166571491322</v>
      </c>
      <c r="P23" s="5" cm="1">
        <f ca="1" t="array" ref="P23">SQRT(SUMXMY2($B23:$E23,K$3:K$6))</f>
        <v>80.6542671116916</v>
      </c>
      <c r="Q23" t="str">
        <f ca="1">INDEX($M$2:$P$2,1,MATCH(MIN(M23:P23),M23:P23,0))</f>
        <v>C3</v>
      </c>
      <c r="R23">
        <v>23</v>
      </c>
      <c r="S23" t="str">
        <f ca="1">INDIRECT($F$1&amp;"!Q"&amp;R23)</f>
        <v>C3</v>
      </c>
      <c r="T23">
        <f ca="1" t="shared" si="0"/>
        <v>0</v>
      </c>
    </row>
    <row r="24" spans="1:20">
      <c r="A24" t="s">
        <v>33</v>
      </c>
      <c r="B24">
        <v>11</v>
      </c>
      <c r="C24">
        <v>251</v>
      </c>
      <c r="D24">
        <v>68</v>
      </c>
      <c r="E24">
        <v>35</v>
      </c>
      <c r="M24" s="5" cm="1">
        <f ca="1" t="array" ref="M24">SQRT(SUMXMY2($B24:$E24,H$3:H$6))</f>
        <v>248.671694961449</v>
      </c>
      <c r="N24" s="5" cm="1">
        <f ca="1" t="array" ref="N24">SQRT(SUMXMY2($B24:$E24,I$3:I$6))</f>
        <v>206.848887838441</v>
      </c>
      <c r="O24" s="5" cm="1">
        <f ca="1" t="array" ref="O24">SQRT(SUMXMY2($B24:$E24,J$3:J$6))</f>
        <v>143.68674836882</v>
      </c>
      <c r="P24" s="5" cm="1">
        <f ca="1" t="array" ref="P24">SQRT(SUMXMY2($B24:$E24,K$3:K$6))</f>
        <v>36.8461275999741</v>
      </c>
      <c r="Q24" t="str">
        <f ca="1">INDEX($M$2:$P$2,1,MATCH(MIN(M24:P24),M24:P24,0))</f>
        <v>C4</v>
      </c>
      <c r="R24">
        <v>24</v>
      </c>
      <c r="S24" t="str">
        <f ca="1">INDIRECT($F$1&amp;"!Q"&amp;R24)</f>
        <v>C4</v>
      </c>
      <c r="T24">
        <f ca="1" t="shared" si="0"/>
        <v>0</v>
      </c>
    </row>
    <row r="25" spans="1:20">
      <c r="A25" t="s">
        <v>34</v>
      </c>
      <c r="B25">
        <v>1</v>
      </c>
      <c r="C25">
        <v>3</v>
      </c>
      <c r="D25">
        <v>62</v>
      </c>
      <c r="E25">
        <v>14</v>
      </c>
      <c r="M25" s="5" cm="1">
        <f ca="1" t="array" ref="M25">SQRT(SUMXMY2($B25:$E25,H$3:H$6))</f>
        <v>10.4719565984586</v>
      </c>
      <c r="N25" s="5" cm="1">
        <f ca="1" t="array" ref="N25">SQRT(SUMXMY2($B25:$E25,I$3:I$6))</f>
        <v>43.447236966233</v>
      </c>
      <c r="O25" s="5" cm="1">
        <f ca="1" t="array" ref="O25">SQRT(SUMXMY2($B25:$E25,J$3:J$6))</f>
        <v>105.57660781794</v>
      </c>
      <c r="P25" s="5" cm="1">
        <f ca="1" t="array" ref="P25">SQRT(SUMXMY2($B25:$E25,K$3:K$6))</f>
        <v>212.920309439342</v>
      </c>
      <c r="Q25" t="str">
        <f ca="1">INDEX($M$2:$P$2,1,MATCH(MIN(M25:P25),M25:P25,0))</f>
        <v>C1</v>
      </c>
      <c r="R25">
        <v>25</v>
      </c>
      <c r="S25" t="str">
        <f ca="1">INDIRECT($F$1&amp;"!Q"&amp;R25)</f>
        <v>C1</v>
      </c>
      <c r="T25">
        <f ca="1" t="shared" si="0"/>
        <v>0</v>
      </c>
    </row>
    <row r="26" spans="1:20">
      <c r="A26" t="s">
        <v>35</v>
      </c>
      <c r="B26">
        <v>13</v>
      </c>
      <c r="C26">
        <v>209</v>
      </c>
      <c r="D26">
        <v>44</v>
      </c>
      <c r="E26">
        <v>13</v>
      </c>
      <c r="M26" s="5" cm="1">
        <f ca="1" t="array" ref="M26">SQRT(SUMXMY2($B26:$E26,H$3:H$6))</f>
        <v>205.292016101455</v>
      </c>
      <c r="N26" s="5" cm="1">
        <f ca="1" t="array" ref="N26">SQRT(SUMXMY2($B26:$E26,I$3:I$6))</f>
        <v>163.821800747031</v>
      </c>
      <c r="O26" s="5" cm="1">
        <f ca="1" t="array" ref="O26">SQRT(SUMXMY2($B26:$E26,J$3:J$6))</f>
        <v>103.312990298883</v>
      </c>
      <c r="P26" s="5" cm="1">
        <f ca="1" t="array" ref="P26">SQRT(SUMXMY2($B26:$E26,K$3:K$6))</f>
        <v>25.8732795137722</v>
      </c>
      <c r="Q26" t="str">
        <f ca="1">INDEX($M$2:$P$2,1,MATCH(MIN(M26:P26),M26:P26,0))</f>
        <v>C4</v>
      </c>
      <c r="R26">
        <v>26</v>
      </c>
      <c r="S26" t="str">
        <f ca="1">INDIRECT($F$1&amp;"!Q"&amp;R26)</f>
        <v>C4</v>
      </c>
      <c r="T26">
        <f ca="1" t="shared" si="0"/>
        <v>0</v>
      </c>
    </row>
    <row r="27" spans="1:20">
      <c r="A27" t="s">
        <v>36</v>
      </c>
      <c r="B27">
        <v>8</v>
      </c>
      <c r="C27">
        <v>80</v>
      </c>
      <c r="D27">
        <v>61</v>
      </c>
      <c r="E27">
        <v>28</v>
      </c>
      <c r="M27" s="5" cm="1">
        <f ca="1" t="array" ref="M27">SQRT(SUMXMY2($B27:$E27,H$3:H$6))</f>
        <v>78.4694964620011</v>
      </c>
      <c r="N27" s="5" cm="1">
        <f ca="1" t="array" ref="N27">SQRT(SUMXMY2($B27:$E27,I$3:I$6))</f>
        <v>38.1311211479547</v>
      </c>
      <c r="O27" s="5" cm="1">
        <f ca="1" t="array" ref="O27">SQRT(SUMXMY2($B27:$E27,J$3:J$6))</f>
        <v>29.7068517588135</v>
      </c>
      <c r="P27" s="5" cm="1">
        <f ca="1" t="array" ref="P27">SQRT(SUMXMY2($B27:$E27,K$3:K$6))</f>
        <v>135.455004232938</v>
      </c>
      <c r="Q27" t="str">
        <f ca="1">INDEX($M$2:$P$2,1,MATCH(MIN(M27:P27),M27:P27,0))</f>
        <v>C3</v>
      </c>
      <c r="R27">
        <v>27</v>
      </c>
      <c r="S27" t="str">
        <f ca="1">INDIRECT($F$1&amp;"!Q"&amp;R27)</f>
        <v>C3</v>
      </c>
      <c r="T27">
        <f ca="1" t="shared" si="0"/>
        <v>0</v>
      </c>
    </row>
    <row r="28" spans="1:20">
      <c r="A28" t="s">
        <v>37</v>
      </c>
      <c r="B28">
        <v>5</v>
      </c>
      <c r="C28">
        <v>19</v>
      </c>
      <c r="D28">
        <v>45</v>
      </c>
      <c r="E28">
        <v>15</v>
      </c>
      <c r="M28" s="5" cm="1">
        <f ca="1" t="array" ref="M28">SQRT(SUMXMY2($B28:$E28,H$3:H$6))</f>
        <v>17.2209719528254</v>
      </c>
      <c r="N28" s="5" cm="1">
        <f ca="1" t="array" ref="N28">SQRT(SUMXMY2($B28:$E28,I$3:I$6))</f>
        <v>29.0499982788296</v>
      </c>
      <c r="O28" s="5" cm="1">
        <f ca="1" t="array" ref="O28">SQRT(SUMXMY2($B28:$E28,J$3:J$6))</f>
        <v>91.5471553725441</v>
      </c>
      <c r="P28" s="5" cm="1">
        <f ca="1" t="array" ref="P28">SQRT(SUMXMY2($B28:$E28,K$3:K$6))</f>
        <v>197.768086572334</v>
      </c>
      <c r="Q28" t="str">
        <f ca="1">INDEX($M$2:$P$2,1,MATCH(MIN(M28:P28),M28:P28,0))</f>
        <v>C1</v>
      </c>
      <c r="R28">
        <v>28</v>
      </c>
      <c r="S28" t="str">
        <f ca="1">INDIRECT($F$1&amp;"!Q"&amp;R28)</f>
        <v>C1</v>
      </c>
      <c r="T28">
        <f ca="1" t="shared" si="0"/>
        <v>0</v>
      </c>
    </row>
    <row r="29" spans="1:20">
      <c r="A29" t="s">
        <v>38</v>
      </c>
      <c r="B29">
        <v>4</v>
      </c>
      <c r="C29">
        <v>10</v>
      </c>
      <c r="D29">
        <v>56</v>
      </c>
      <c r="E29">
        <v>13</v>
      </c>
      <c r="M29" s="5" cm="1">
        <f ca="1" t="array" ref="M29">SQRT(SUMXMY2($B29:$E29,H$3:H$6))</f>
        <v>7.58036113915426</v>
      </c>
      <c r="N29" s="5" cm="1">
        <f ca="1" t="array" ref="N29">SQRT(SUMXMY2($B29:$E29,I$3:I$6))</f>
        <v>35.9241200309764</v>
      </c>
      <c r="O29" s="5" cm="1">
        <f ca="1" t="array" ref="O29">SQRT(SUMXMY2($B29:$E29,J$3:J$6))</f>
        <v>98.8917284938283</v>
      </c>
      <c r="P29" s="5" cm="1">
        <f ca="1" t="array" ref="P29">SQRT(SUMXMY2($B29:$E29,K$3:K$6))</f>
        <v>206.072177603556</v>
      </c>
      <c r="Q29" t="str">
        <f ca="1">INDEX($M$2:$P$2,1,MATCH(MIN(M29:P29),M29:P29,0))</f>
        <v>C1</v>
      </c>
      <c r="R29">
        <v>29</v>
      </c>
      <c r="S29" t="str">
        <f ca="1">INDIRECT($F$1&amp;"!Q"&amp;R29)</f>
        <v>C1</v>
      </c>
      <c r="T29">
        <f ca="1" t="shared" si="0"/>
        <v>0</v>
      </c>
    </row>
    <row r="30" spans="1:20">
      <c r="A30" t="s">
        <v>39</v>
      </c>
      <c r="B30">
        <v>11</v>
      </c>
      <c r="C30">
        <v>239</v>
      </c>
      <c r="D30">
        <v>75</v>
      </c>
      <c r="E30">
        <v>43</v>
      </c>
      <c r="M30" s="5" cm="1">
        <f ca="1" t="array" ref="M30">SQRT(SUMXMY2($B30:$E30,H$3:H$6))</f>
        <v>238.283574496859</v>
      </c>
      <c r="N30" s="5" cm="1">
        <f ca="1" t="array" ref="N30">SQRT(SUMXMY2($B30:$E30,I$3:I$6))</f>
        <v>196.603312281355</v>
      </c>
      <c r="O30" s="5" cm="1">
        <f ca="1" t="array" ref="O30">SQRT(SUMXMY2($B30:$E30,J$3:J$6))</f>
        <v>133.287272616031</v>
      </c>
      <c r="P30" s="5" cm="1">
        <f ca="1" t="array" ref="P30">SQRT(SUMXMY2($B30:$E30,K$3:K$6))</f>
        <v>30.683533440214</v>
      </c>
      <c r="Q30" t="str">
        <f ca="1">INDEX($M$2:$P$2,1,MATCH(MIN(M30:P30),M30:P30,0))</f>
        <v>C4</v>
      </c>
      <c r="R30">
        <v>30</v>
      </c>
      <c r="S30" t="str">
        <f ca="1">INDIRECT($F$1&amp;"!Q"&amp;R30)</f>
        <v>C4</v>
      </c>
      <c r="T30">
        <f ca="1" t="shared" si="0"/>
        <v>0</v>
      </c>
    </row>
    <row r="31" spans="1:20">
      <c r="A31" t="s">
        <v>40</v>
      </c>
      <c r="B31">
        <v>0</v>
      </c>
      <c r="C31">
        <v>0.1</v>
      </c>
      <c r="D31">
        <v>53</v>
      </c>
      <c r="E31">
        <v>6</v>
      </c>
      <c r="M31" s="5" cm="1">
        <f ca="1" t="array" ref="M31">SQRT(SUMXMY2($B31:$E31,H$3:H$6))</f>
        <v>6.71839824660611</v>
      </c>
      <c r="N31" s="5" cm="1">
        <f ca="1" t="array" ref="N31">SQRT(SUMXMY2($B31:$E31,I$3:I$6))</f>
        <v>46.4406330706204</v>
      </c>
      <c r="O31" s="5" cm="1">
        <f ca="1" t="array" ref="O31">SQRT(SUMXMY2($B31:$E31,J$3:J$6))</f>
        <v>109.840160631592</v>
      </c>
      <c r="P31" s="5" cm="1">
        <f ca="1" t="array" ref="P31">SQRT(SUMXMY2($B31:$E31,K$3:K$6))</f>
        <v>216.769935678014</v>
      </c>
      <c r="Q31" t="str">
        <f ca="1">INDEX($M$2:$P$2,1,MATCH(MIN(M31:P31),M31:P31,0))</f>
        <v>C1</v>
      </c>
      <c r="R31">
        <v>31</v>
      </c>
      <c r="S31" t="str">
        <f ca="1">INDIRECT($F$1&amp;"!Q"&amp;R31)</f>
        <v>C1</v>
      </c>
      <c r="T31">
        <f ca="1" t="shared" si="0"/>
        <v>0</v>
      </c>
    </row>
    <row r="32" spans="1:20">
      <c r="A32" t="s">
        <v>41</v>
      </c>
      <c r="B32">
        <v>5</v>
      </c>
      <c r="C32">
        <v>155</v>
      </c>
      <c r="D32">
        <v>87</v>
      </c>
      <c r="E32">
        <v>19</v>
      </c>
      <c r="M32" s="5" cm="1">
        <f ca="1" t="array" ref="M32">SQRT(SUMXMY2($B32:$E32,H$3:H$6))</f>
        <v>155.046644191353</v>
      </c>
      <c r="N32" s="5" cm="1">
        <f ca="1" t="array" ref="N32">SQRT(SUMXMY2($B32:$E32,I$3:I$6))</f>
        <v>113.751933609939</v>
      </c>
      <c r="O32" s="5" cm="1">
        <f ca="1" t="array" ref="O32">SQRT(SUMXMY2($B32:$E32,J$3:J$6))</f>
        <v>51.7831733425069</v>
      </c>
      <c r="P32" s="5" cm="1">
        <f ca="1" t="array" ref="P32">SQRT(SUMXMY2($B32:$E32,K$3:K$6))</f>
        <v>64.7912052442946</v>
      </c>
      <c r="Q32" t="str">
        <f ca="1">INDEX($M$2:$P$2,1,MATCH(MIN(M32:P32),M32:P32,0))</f>
        <v>C3</v>
      </c>
      <c r="R32">
        <v>32</v>
      </c>
      <c r="S32" t="str">
        <f ca="1">INDIRECT($F$1&amp;"!Q"&amp;R32)</f>
        <v>C4</v>
      </c>
      <c r="T32">
        <f ca="1" t="shared" si="0"/>
        <v>1</v>
      </c>
    </row>
    <row r="33" spans="1:20">
      <c r="A33" t="s">
        <v>42</v>
      </c>
      <c r="B33">
        <v>12</v>
      </c>
      <c r="C33">
        <v>229</v>
      </c>
      <c r="D33">
        <v>64</v>
      </c>
      <c r="E33">
        <v>32</v>
      </c>
      <c r="M33" s="5" cm="1">
        <f ca="1" t="array" ref="M33">SQRT(SUMXMY2($B33:$E33,H$3:H$6))</f>
        <v>226.348319797166</v>
      </c>
      <c r="N33" s="5" cm="1">
        <f ca="1" t="array" ref="N33">SQRT(SUMXMY2($B33:$E33,I$3:I$6))</f>
        <v>184.538945483061</v>
      </c>
      <c r="O33" s="5" cm="1">
        <f ca="1" t="array" ref="O33">SQRT(SUMXMY2($B33:$E33,J$3:J$6))</f>
        <v>121.513678096324</v>
      </c>
      <c r="P33" s="5" cm="1">
        <f ca="1" t="array" ref="P33">SQRT(SUMXMY2($B33:$E33,K$3:K$6))</f>
        <v>15.0352310173523</v>
      </c>
      <c r="Q33" t="str">
        <f ca="1">INDEX($M$2:$P$2,1,MATCH(MIN(M33:P33),M33:P33,0))</f>
        <v>C4</v>
      </c>
      <c r="R33">
        <v>33</v>
      </c>
      <c r="S33" t="str">
        <f ca="1">INDIRECT($F$1&amp;"!Q"&amp;R33)</f>
        <v>C4</v>
      </c>
      <c r="T33">
        <f ca="1" t="shared" si="0"/>
        <v>0</v>
      </c>
    </row>
    <row r="34" spans="1:20">
      <c r="A34" t="s">
        <v>43</v>
      </c>
      <c r="B34">
        <v>9</v>
      </c>
      <c r="C34">
        <v>161</v>
      </c>
      <c r="D34">
        <v>85</v>
      </c>
      <c r="E34">
        <v>23</v>
      </c>
      <c r="M34" s="5" cm="1">
        <f ca="1" t="array" ref="M34">SQRT(SUMXMY2($B34:$E34,H$3:H$6))</f>
        <v>160.844216168938</v>
      </c>
      <c r="N34" s="5" cm="1">
        <f ca="1" t="array" ref="N34">SQRT(SUMXMY2($B34:$E34,I$3:I$6))</f>
        <v>119.425886641046</v>
      </c>
      <c r="O34" s="5" cm="1">
        <f ca="1" t="array" ref="O34">SQRT(SUMXMY2($B34:$E34,J$3:J$6))</f>
        <v>56.6306940003262</v>
      </c>
      <c r="P34" s="5" cm="1">
        <f ca="1" t="array" ref="P34">SQRT(SUMXMY2($B34:$E34,K$3:K$6))</f>
        <v>57.9855268980104</v>
      </c>
      <c r="Q34" t="str">
        <f ca="1">INDEX($M$2:$P$2,1,MATCH(MIN(M34:P34),M34:P34,0))</f>
        <v>C3</v>
      </c>
      <c r="R34">
        <v>34</v>
      </c>
      <c r="S34" t="str">
        <f ca="1">INDIRECT($F$1&amp;"!Q"&amp;R34)</f>
        <v>C4</v>
      </c>
      <c r="T34">
        <f ca="1" t="shared" si="0"/>
        <v>1</v>
      </c>
    </row>
    <row r="35" spans="1:20">
      <c r="A35" t="s">
        <v>44</v>
      </c>
      <c r="B35">
        <v>13</v>
      </c>
      <c r="C35">
        <v>321</v>
      </c>
      <c r="D35">
        <v>45</v>
      </c>
      <c r="E35">
        <v>13</v>
      </c>
      <c r="M35" s="5" cm="1">
        <f ca="1" t="array" ref="M35">SQRT(SUMXMY2($B35:$E35,H$3:H$6))</f>
        <v>317.103077681375</v>
      </c>
      <c r="N35" s="5" cm="1">
        <f ca="1" t="array" ref="N35">SQRT(SUMXMY2($B35:$E35,I$3:I$6))</f>
        <v>275.488624810535</v>
      </c>
      <c r="O35" s="5" cm="1">
        <f ca="1" t="array" ref="O35">SQRT(SUMXMY2($B35:$E35,J$3:J$6))</f>
        <v>213.890601357592</v>
      </c>
      <c r="P35" s="5" cm="1">
        <f ca="1" t="array" ref="P35">SQRT(SUMXMY2($B35:$E35,K$3:K$6))</f>
        <v>108.377533422257</v>
      </c>
      <c r="Q35" t="str">
        <f ca="1">INDEX($M$2:$P$2,1,MATCH(MIN(M35:P35),M35:P35,0))</f>
        <v>C4</v>
      </c>
      <c r="R35">
        <v>35</v>
      </c>
      <c r="S35" t="str">
        <f ca="1">INDIRECT($F$1&amp;"!Q"&amp;R35)</f>
        <v>C4</v>
      </c>
      <c r="T35">
        <f ca="1" t="shared" si="0"/>
        <v>0</v>
      </c>
    </row>
    <row r="36" spans="1:20">
      <c r="A36" t="s">
        <v>45</v>
      </c>
      <c r="B36">
        <v>0.1</v>
      </c>
      <c r="C36">
        <v>27</v>
      </c>
      <c r="D36">
        <v>44</v>
      </c>
      <c r="E36">
        <v>6</v>
      </c>
      <c r="M36" s="5" cm="1">
        <f ca="1" t="array" ref="M36">SQRT(SUMXMY2($B36:$E36,H$3:H$6))</f>
        <v>24.7865260776899</v>
      </c>
      <c r="N36" s="5" cm="1">
        <f ca="1" t="array" ref="N36">SQRT(SUMXMY2($B36:$E36,I$3:I$6))</f>
        <v>23.2754892537192</v>
      </c>
      <c r="O36" s="5" cm="1">
        <f ca="1" t="array" ref="O36">SQRT(SUMXMY2($B36:$E36,J$3:J$6))</f>
        <v>85.2287381735227</v>
      </c>
      <c r="P36" s="5" cm="1">
        <f ca="1" t="array" ref="P36">SQRT(SUMXMY2($B36:$E36,K$3:K$6))</f>
        <v>190.862046523986</v>
      </c>
      <c r="Q36" t="str">
        <f ca="1">INDEX($M$2:$P$2,1,MATCH(MIN(M36:P36),M36:P36,0))</f>
        <v>C2</v>
      </c>
      <c r="R36">
        <v>36</v>
      </c>
      <c r="S36" t="str">
        <f ca="1">INDIRECT($F$1&amp;"!Q"&amp;R36)</f>
        <v>C2</v>
      </c>
      <c r="T36">
        <f ca="1" t="shared" si="0"/>
        <v>0</v>
      </c>
    </row>
    <row r="37" spans="1:20">
      <c r="A37" t="s">
        <v>46</v>
      </c>
      <c r="B37">
        <v>8</v>
      </c>
      <c r="C37">
        <v>119</v>
      </c>
      <c r="D37">
        <v>73</v>
      </c>
      <c r="E37">
        <v>18</v>
      </c>
      <c r="M37" s="5" cm="1">
        <f ca="1" t="array" ref="M37">SQRT(SUMXMY2($B37:$E37,H$3:H$6))</f>
        <v>117.078229722694</v>
      </c>
      <c r="N37" s="5" cm="1">
        <f ca="1" t="array" ref="N37">SQRT(SUMXMY2($B37:$E37,I$3:I$6))</f>
        <v>75.5300099298286</v>
      </c>
      <c r="O37" s="5" cm="1">
        <f ca="1" t="array" ref="O37">SQRT(SUMXMY2($B37:$E37,J$3:J$6))</f>
        <v>13.6760923862988</v>
      </c>
      <c r="P37" s="5" cm="1">
        <f ca="1" t="array" ref="P37">SQRT(SUMXMY2($B37:$E37,K$3:K$6))</f>
        <v>97.0512900923386</v>
      </c>
      <c r="Q37" t="str">
        <f ca="1">INDEX($M$2:$P$2,1,MATCH(MIN(M37:P37),M37:P37,0))</f>
        <v>C3</v>
      </c>
      <c r="R37">
        <v>37</v>
      </c>
      <c r="S37" t="str">
        <f ca="1">INDIRECT($F$1&amp;"!Q"&amp;R37)</f>
        <v>C3</v>
      </c>
      <c r="T37">
        <f ca="1" t="shared" si="0"/>
        <v>0</v>
      </c>
    </row>
    <row r="38" spans="1:20">
      <c r="A38" t="s">
        <v>47</v>
      </c>
      <c r="B38">
        <v>4</v>
      </c>
      <c r="C38">
        <v>116</v>
      </c>
      <c r="D38">
        <v>59</v>
      </c>
      <c r="E38">
        <v>20</v>
      </c>
      <c r="M38" s="5" cm="1">
        <f ca="1" t="array" ref="M38">SQRT(SUMXMY2($B38:$E38,H$3:H$6))</f>
        <v>112.424916611043</v>
      </c>
      <c r="N38" s="5" cm="1">
        <f ca="1" t="array" ref="N38">SQRT(SUMXMY2($B38:$E38,I$3:I$6))</f>
        <v>70.5757918836197</v>
      </c>
      <c r="O38" s="5" cm="1">
        <f ca="1" t="array" ref="O38">SQRT(SUMXMY2($B38:$E38,J$3:J$6))</f>
        <v>10.0936443767716</v>
      </c>
      <c r="P38" s="5" cm="1">
        <f ca="1" t="array" ref="P38">SQRT(SUMXMY2($B38:$E38,K$3:K$6))</f>
        <v>99.9139380359438</v>
      </c>
      <c r="Q38" t="str">
        <f ca="1">INDEX($M$2:$P$2,1,MATCH(MIN(M38:P38),M38:P38,0))</f>
        <v>C3</v>
      </c>
      <c r="R38">
        <v>38</v>
      </c>
      <c r="S38" t="str">
        <f ca="1">INDIRECT($F$1&amp;"!Q"&amp;R38)</f>
        <v>C3</v>
      </c>
      <c r="T38">
        <f ca="1" t="shared" si="0"/>
        <v>0</v>
      </c>
    </row>
    <row r="39" spans="1:20">
      <c r="A39" t="s">
        <v>48</v>
      </c>
      <c r="B39">
        <v>4</v>
      </c>
      <c r="C39">
        <v>103</v>
      </c>
      <c r="D39">
        <v>58</v>
      </c>
      <c r="E39">
        <v>29</v>
      </c>
      <c r="M39" s="5" cm="1">
        <f ca="1" t="array" ref="M39">SQRT(SUMXMY2($B39:$E39,H$3:H$6))</f>
        <v>100.664849252358</v>
      </c>
      <c r="N39" s="5" cm="1">
        <f ca="1" t="array" ref="N39">SQRT(SUMXMY2($B39:$E39,I$3:I$6))</f>
        <v>59.4452891321087</v>
      </c>
      <c r="O39" s="5" cm="1">
        <f ca="1" t="array" ref="O39">SQRT(SUMXMY2($B39:$E39,J$3:J$6))</f>
        <v>12.9658175999627</v>
      </c>
      <c r="P39" s="5" cm="1">
        <f ca="1" t="array" ref="P39">SQRT(SUMXMY2($B39:$E39,K$3:K$6))</f>
        <v>112.777401913111</v>
      </c>
      <c r="Q39" t="str">
        <f ca="1">INDEX($M$2:$P$2,1,MATCH(MIN(M39:P39),M39:P39,0))</f>
        <v>C3</v>
      </c>
      <c r="R39">
        <v>39</v>
      </c>
      <c r="S39" t="str">
        <f ca="1">INDIRECT($F$1&amp;"!Q"&amp;R39)</f>
        <v>C3</v>
      </c>
      <c r="T39">
        <f ca="1" t="shared" si="0"/>
        <v>0</v>
      </c>
    </row>
    <row r="40" spans="1:20">
      <c r="A40" t="s">
        <v>49</v>
      </c>
      <c r="B40">
        <v>4</v>
      </c>
      <c r="C40">
        <v>57</v>
      </c>
      <c r="D40">
        <v>67</v>
      </c>
      <c r="E40">
        <v>13</v>
      </c>
      <c r="M40" s="5" cm="1">
        <f ca="1" t="array" ref="M40">SQRT(SUMXMY2($B40:$E40,H$3:H$6))</f>
        <v>54.9569092562528</v>
      </c>
      <c r="N40" s="5" cm="1">
        <f ca="1" t="array" ref="N40">SQRT(SUMXMY2($B40:$E40,I$3:I$6))</f>
        <v>16.0294229465692</v>
      </c>
      <c r="O40" s="5" cm="1">
        <f ca="1" t="array" ref="O40">SQRT(SUMXMY2($B40:$E40,J$3:J$6))</f>
        <v>51.7809450685225</v>
      </c>
      <c r="P40" s="5" cm="1">
        <f ca="1" t="array" ref="P40">SQRT(SUMXMY2($B40:$E40,K$3:K$6))</f>
        <v>159.030798947406</v>
      </c>
      <c r="Q40" t="str">
        <f ca="1">INDEX($M$2:$P$2,1,MATCH(MIN(M40:P40),M40:P40,0))</f>
        <v>C2</v>
      </c>
      <c r="R40">
        <v>40</v>
      </c>
      <c r="S40" t="str">
        <f ca="1">INDIRECT($F$1&amp;"!Q"&amp;R40)</f>
        <v>C2</v>
      </c>
      <c r="T40">
        <f ca="1" t="shared" si="0"/>
        <v>0</v>
      </c>
    </row>
    <row r="41" spans="1:20">
      <c r="A41" t="s">
        <v>50</v>
      </c>
      <c r="B41">
        <v>2</v>
      </c>
      <c r="C41">
        <v>97</v>
      </c>
      <c r="D41">
        <v>83</v>
      </c>
      <c r="E41">
        <v>5</v>
      </c>
      <c r="M41" s="5" cm="1">
        <f ca="1" t="array" ref="M41">SQRT(SUMXMY2($B41:$E41,H$3:H$6))</f>
        <v>98.001336087831</v>
      </c>
      <c r="N41" s="5" cm="1">
        <f ca="1" t="array" ref="N41">SQRT(SUMXMY2($B41:$E41,I$3:I$6))</f>
        <v>58.5441918553839</v>
      </c>
      <c r="O41" s="5" cm="1">
        <f ca="1" t="array" ref="O41">SQRT(SUMXMY2($B41:$E41,J$3:J$6))</f>
        <v>26.3357924600161</v>
      </c>
      <c r="P41" s="5" cm="1">
        <f ca="1" t="array" ref="P41">SQRT(SUMXMY2($B41:$E41,K$3:K$6))</f>
        <v>121.818049233739</v>
      </c>
      <c r="Q41" t="str">
        <f ca="1">INDEX($M$2:$P$2,1,MATCH(MIN(M41:P41),M41:P41,0))</f>
        <v>C3</v>
      </c>
      <c r="R41">
        <v>41</v>
      </c>
      <c r="S41" t="str">
        <f ca="1">INDIRECT($F$1&amp;"!Q"&amp;R41)</f>
        <v>C3</v>
      </c>
      <c r="T41">
        <f ca="1" t="shared" si="0"/>
        <v>0</v>
      </c>
    </row>
    <row r="42" spans="1:20">
      <c r="A42" t="s">
        <v>51</v>
      </c>
      <c r="B42">
        <v>13</v>
      </c>
      <c r="C42">
        <v>210</v>
      </c>
      <c r="D42">
        <v>46</v>
      </c>
      <c r="E42">
        <v>21</v>
      </c>
      <c r="M42" s="5" cm="1">
        <f ca="1" t="array" ref="M42">SQRT(SUMXMY2($B42:$E42,H$3:H$6))</f>
        <v>206.458135889579</v>
      </c>
      <c r="N42" s="5" cm="1">
        <f ca="1" t="array" ref="N42">SQRT(SUMXMY2($B42:$E42,I$3:I$6))</f>
        <v>164.898703451543</v>
      </c>
      <c r="O42" s="5" cm="1">
        <f ca="1" t="array" ref="O42">SQRT(SUMXMY2($B42:$E42,J$3:J$6))</f>
        <v>103.699811415325</v>
      </c>
      <c r="P42" s="5" cm="1">
        <f ca="1" t="array" ref="P42">SQRT(SUMXMY2($B42:$E42,K$3:K$6))</f>
        <v>20.7543340599372</v>
      </c>
      <c r="Q42" t="str">
        <f ca="1">INDEX($M$2:$P$2,1,MATCH(MIN(M42:P42),M42:P42,0))</f>
        <v>C4</v>
      </c>
      <c r="R42">
        <v>42</v>
      </c>
      <c r="S42" t="str">
        <f ca="1">INDIRECT($F$1&amp;"!Q"&amp;R42)</f>
        <v>C4</v>
      </c>
      <c r="T42">
        <f ca="1" t="shared" si="0"/>
        <v>0</v>
      </c>
    </row>
    <row r="43" spans="1:20">
      <c r="A43" t="s">
        <v>52</v>
      </c>
      <c r="B43">
        <v>3</v>
      </c>
      <c r="C43">
        <v>1</v>
      </c>
      <c r="D43">
        <v>43</v>
      </c>
      <c r="E43">
        <v>12</v>
      </c>
      <c r="M43" s="5" cm="1">
        <f ca="1" t="array" ref="M43">SQRT(SUMXMY2($B43:$E43,H$3:H$6))</f>
        <v>9.7781324904094</v>
      </c>
      <c r="N43" s="5" cm="1">
        <f ca="1" t="array" ref="N43">SQRT(SUMXMY2($B43:$E43,I$3:I$6))</f>
        <v>46.6131140345719</v>
      </c>
      <c r="O43" s="5" cm="1">
        <f ca="1" t="array" ref="O43">SQRT(SUMXMY2($B43:$E43,J$3:J$6))</f>
        <v>109.765645998282</v>
      </c>
      <c r="P43" s="5" cm="1">
        <f ca="1" t="array" ref="P43">SQRT(SUMXMY2($B43:$E43,K$3:K$6))</f>
        <v>216.076388206037</v>
      </c>
      <c r="Q43" t="str">
        <f ca="1">INDEX($M$2:$P$2,1,MATCH(MIN(M43:P43),M43:P43,0))</f>
        <v>C1</v>
      </c>
      <c r="R43">
        <v>43</v>
      </c>
      <c r="S43" t="str">
        <f ca="1">INDIRECT($F$1&amp;"!Q"&amp;R43)</f>
        <v>C1</v>
      </c>
      <c r="T43">
        <f ca="1" t="shared" si="0"/>
        <v>0</v>
      </c>
    </row>
    <row r="44" spans="1:20">
      <c r="A44" t="s">
        <v>53</v>
      </c>
      <c r="B44">
        <v>14</v>
      </c>
      <c r="C44">
        <v>96</v>
      </c>
      <c r="D44">
        <v>58</v>
      </c>
      <c r="E44">
        <v>27</v>
      </c>
      <c r="M44" s="5" cm="1">
        <f ca="1" t="array" ref="M44">SQRT(SUMXMY2($B44:$E44,H$3:H$6))</f>
        <v>94.182598578506</v>
      </c>
      <c r="N44" s="5" cm="1">
        <f ca="1" t="array" ref="N44">SQRT(SUMXMY2($B44:$E44,I$3:I$6))</f>
        <v>53.3455002788426</v>
      </c>
      <c r="O44" s="5" cm="1">
        <f ca="1" t="array" ref="O44">SQRT(SUMXMY2($B44:$E44,J$3:J$6))</f>
        <v>17.4145419747218</v>
      </c>
      <c r="P44" s="5" cm="1">
        <f ca="1" t="array" ref="P44">SQRT(SUMXMY2($B44:$E44,K$3:K$6))</f>
        <v>119.656769061643</v>
      </c>
      <c r="Q44" t="str">
        <f ca="1">INDEX($M$2:$P$2,1,MATCH(MIN(M44:P44),M44:P44,0))</f>
        <v>C3</v>
      </c>
      <c r="R44">
        <v>44</v>
      </c>
      <c r="S44" t="str">
        <f ca="1">INDIRECT($F$1&amp;"!Q"&amp;R44)</f>
        <v>C3</v>
      </c>
      <c r="T44">
        <f ca="1" t="shared" si="0"/>
        <v>0</v>
      </c>
    </row>
    <row r="45" spans="1:20">
      <c r="A45" t="s">
        <v>54</v>
      </c>
      <c r="B45">
        <v>13</v>
      </c>
      <c r="C45">
        <v>137</v>
      </c>
      <c r="D45">
        <v>79</v>
      </c>
      <c r="E45">
        <v>25</v>
      </c>
      <c r="M45" s="5" cm="1">
        <f ca="1" t="array" ref="M45">SQRT(SUMXMY2($B45:$E45,H$3:H$6))</f>
        <v>136.694044767868</v>
      </c>
      <c r="N45" s="5" cm="1">
        <f ca="1" t="array" ref="N45">SQRT(SUMXMY2($B45:$E45,I$3:I$6))</f>
        <v>95.4273671438126</v>
      </c>
      <c r="O45" s="5" cm="1">
        <f ca="1" t="array" ref="O45">SQRT(SUMXMY2($B45:$E45,J$3:J$6))</f>
        <v>33.1052651383682</v>
      </c>
      <c r="P45" s="5" cm="1">
        <f ca="1" t="array" ref="P45">SQRT(SUMXMY2($B45:$E45,K$3:K$6))</f>
        <v>79.6638018778911</v>
      </c>
      <c r="Q45" t="str">
        <f ca="1">INDEX($M$2:$P$2,1,MATCH(MIN(M45:P45),M45:P45,0))</f>
        <v>C3</v>
      </c>
      <c r="R45">
        <v>45</v>
      </c>
      <c r="S45" t="str">
        <f ca="1">INDIRECT($F$1&amp;"!Q"&amp;R45)</f>
        <v>C3</v>
      </c>
      <c r="T45">
        <f ca="1" t="shared" si="0"/>
        <v>0</v>
      </c>
    </row>
    <row r="46" spans="1:20">
      <c r="A46" t="s">
        <v>55</v>
      </c>
      <c r="B46">
        <v>0</v>
      </c>
      <c r="C46">
        <v>49</v>
      </c>
      <c r="D46">
        <v>74</v>
      </c>
      <c r="E46">
        <v>21</v>
      </c>
      <c r="M46" s="5" cm="1">
        <f ca="1" t="array" ref="M46">SQRT(SUMXMY2($B46:$E46,H$3:H$6))</f>
        <v>50.9343879417433</v>
      </c>
      <c r="N46" s="5" cm="1">
        <f ca="1" t="array" ref="N46">SQRT(SUMXMY2($B46:$E46,I$3:I$6))</f>
        <v>20.7051297991585</v>
      </c>
      <c r="O46" s="5" cm="1">
        <f ca="1" t="array" ref="O46">SQRT(SUMXMY2($B46:$E46,J$3:J$6))</f>
        <v>60.3205932041209</v>
      </c>
      <c r="P46" s="5" cm="1">
        <f ca="1" t="array" ref="P46">SQRT(SUMXMY2($B46:$E46,K$3:K$6))</f>
        <v>166.973068307935</v>
      </c>
      <c r="Q46" t="str">
        <f ca="1">INDEX($M$2:$P$2,1,MATCH(MIN(M46:P46),M46:P46,0))</f>
        <v>C2</v>
      </c>
      <c r="R46">
        <v>46</v>
      </c>
      <c r="S46" t="str">
        <f ca="1">INDIRECT($F$1&amp;"!Q"&amp;R46)</f>
        <v>C2</v>
      </c>
      <c r="T46">
        <f ca="1" t="shared" si="0"/>
        <v>0</v>
      </c>
    </row>
    <row r="47" spans="1:20">
      <c r="A47" t="s">
        <v>56</v>
      </c>
      <c r="B47">
        <v>0.1</v>
      </c>
      <c r="C47">
        <v>44</v>
      </c>
      <c r="D47">
        <v>24</v>
      </c>
      <c r="E47">
        <v>8</v>
      </c>
      <c r="M47" s="5" cm="1">
        <f ca="1" t="array" ref="M47">SQRT(SUMXMY2($B47:$E47,H$3:H$6))</f>
        <v>48.876598439335</v>
      </c>
      <c r="N47" s="5" cm="1">
        <f ca="1" t="array" ref="N47">SQRT(SUMXMY2($B47:$E47,I$3:I$6))</f>
        <v>32.0210618187467</v>
      </c>
      <c r="O47" s="5" cm="1">
        <f ca="1" t="array" ref="O47">SQRT(SUMXMY2($B47:$E47,J$3:J$6))</f>
        <v>77.2927459719323</v>
      </c>
      <c r="P47" s="5" cm="1">
        <f ca="1" t="array" ref="P47">SQRT(SUMXMY2($B47:$E47,K$3:K$6))</f>
        <v>177.427093294409</v>
      </c>
      <c r="Q47" t="str">
        <f ca="1">INDEX($M$2:$P$2,1,MATCH(MIN(M47:P47),M47:P47,0))</f>
        <v>C2</v>
      </c>
      <c r="R47">
        <v>47</v>
      </c>
      <c r="S47" t="str">
        <f ca="1">INDIRECT($F$1&amp;"!Q"&amp;R47)</f>
        <v>C2</v>
      </c>
      <c r="T47">
        <f ca="1" t="shared" si="0"/>
        <v>0</v>
      </c>
    </row>
    <row r="48" spans="1:20">
      <c r="A48" t="s">
        <v>57</v>
      </c>
      <c r="B48">
        <v>7</v>
      </c>
      <c r="C48">
        <v>100</v>
      </c>
      <c r="D48">
        <v>58</v>
      </c>
      <c r="E48">
        <v>16</v>
      </c>
      <c r="M48" s="5" cm="1">
        <f ca="1" t="array" ref="M48">SQRT(SUMXMY2($B48:$E48,H$3:H$6))</f>
        <v>96.2715527817018</v>
      </c>
      <c r="N48" s="5" cm="1">
        <f ca="1" t="array" ref="N48">SQRT(SUMXMY2($B48:$E48,I$3:I$6))</f>
        <v>54.4189525808794</v>
      </c>
      <c r="O48" s="5" cm="1">
        <f ca="1" t="array" ref="O48">SQRT(SUMXMY2($B48:$E48,J$3:J$6))</f>
        <v>11.3288655772002</v>
      </c>
      <c r="P48" s="5" cm="1">
        <f ca="1" t="array" ref="P48">SQRT(SUMXMY2($B48:$E48,K$3:K$6))</f>
        <v>116.06602142591</v>
      </c>
      <c r="Q48" t="str">
        <f ca="1">INDEX($M$2:$P$2,1,MATCH(MIN(M48:P48),M48:P48,0))</f>
        <v>C3</v>
      </c>
      <c r="R48">
        <v>48</v>
      </c>
      <c r="S48" t="str">
        <f ca="1">INDIRECT($F$1&amp;"!Q"&amp;R48)</f>
        <v>C3</v>
      </c>
      <c r="T48">
        <f ca="1" t="shared" si="0"/>
        <v>0</v>
      </c>
    </row>
    <row r="49" spans="1:20">
      <c r="A49" t="s">
        <v>58</v>
      </c>
      <c r="B49">
        <v>1</v>
      </c>
      <c r="C49">
        <v>62</v>
      </c>
      <c r="D49">
        <v>73</v>
      </c>
      <c r="E49">
        <v>24</v>
      </c>
      <c r="M49" s="5" cm="1">
        <f ca="1" t="array" ref="M49">SQRT(SUMXMY2($B49:$E49,H$3:H$6))</f>
        <v>62.8709939081609</v>
      </c>
      <c r="N49" s="5" cm="1">
        <f ca="1" t="array" ref="N49">SQRT(SUMXMY2($B49:$E49,I$3:I$6))</f>
        <v>26.3905740748473</v>
      </c>
      <c r="O49" s="5" cm="1">
        <f ca="1" t="array" ref="O49">SQRT(SUMXMY2($B49:$E49,J$3:J$6))</f>
        <v>47.4839742508026</v>
      </c>
      <c r="P49" s="5" cm="1">
        <f ca="1" t="array" ref="P49">SQRT(SUMXMY2($B49:$E49,K$3:K$6))</f>
        <v>153.837936814442</v>
      </c>
      <c r="Q49" t="str">
        <f ca="1">INDEX($M$2:$P$2,1,MATCH(MIN(M49:P49),M49:P49,0))</f>
        <v>C2</v>
      </c>
      <c r="R49">
        <v>49</v>
      </c>
      <c r="S49" t="str">
        <f ca="1">INDIRECT($F$1&amp;"!Q"&amp;R49)</f>
        <v>C3</v>
      </c>
      <c r="T49">
        <f ca="1" t="shared" si="0"/>
        <v>1</v>
      </c>
    </row>
    <row r="50" spans="1:20">
      <c r="A50" t="s">
        <v>59</v>
      </c>
      <c r="B50">
        <v>5</v>
      </c>
      <c r="C50">
        <v>65</v>
      </c>
      <c r="D50">
        <v>34</v>
      </c>
      <c r="E50">
        <v>9</v>
      </c>
      <c r="M50" s="5" cm="1">
        <f ca="1" t="array" ref="M50">SQRT(SUMXMY2($B50:$E50,H$3:H$6))</f>
        <v>63.5665940176127</v>
      </c>
      <c r="N50" s="5" cm="1">
        <f ca="1" t="array" ref="N50">SQRT(SUMXMY2($B50:$E50,I$3:I$6))</f>
        <v>29.0775239661151</v>
      </c>
      <c r="O50" s="5" cm="1">
        <f ca="1" t="array" ref="O50">SQRT(SUMXMY2($B50:$E50,J$3:J$6))</f>
        <v>54.1993908129699</v>
      </c>
      <c r="P50" s="5" cm="1">
        <f ca="1" t="array" ref="P50">SQRT(SUMXMY2($B50:$E50,K$3:K$6))</f>
        <v>154.581796651338</v>
      </c>
      <c r="Q50" t="str">
        <f ca="1">INDEX($M$2:$P$2,1,MATCH(MIN(M50:P50),M50:P50,0))</f>
        <v>C2</v>
      </c>
      <c r="R50">
        <v>50</v>
      </c>
      <c r="S50" t="str">
        <f ca="1">INDIRECT($F$1&amp;"!Q"&amp;R50)</f>
        <v>C2</v>
      </c>
      <c r="T50">
        <f ca="1" t="shared" si="0"/>
        <v>0</v>
      </c>
    </row>
    <row r="51" spans="1:20">
      <c r="A51" t="s">
        <v>60</v>
      </c>
      <c r="B51">
        <v>0</v>
      </c>
      <c r="C51">
        <v>0.1</v>
      </c>
      <c r="D51">
        <v>60</v>
      </c>
      <c r="E51">
        <v>11</v>
      </c>
      <c r="M51" s="5" cm="1">
        <f ca="1" t="array" ref="M51">SQRT(SUMXMY2($B51:$E51,H$3:H$6))</f>
        <v>9.09048266045318</v>
      </c>
      <c r="N51" s="5" cm="1">
        <f ca="1" t="array" ref="N51">SQRT(SUMXMY2($B51:$E51,I$3:I$6))</f>
        <v>46.1381880875268</v>
      </c>
      <c r="O51" s="5" cm="1">
        <f ca="1" t="array" ref="O51">SQRT(SUMXMY2($B51:$E51,J$3:J$6))</f>
        <v>108.793803393414</v>
      </c>
      <c r="P51" s="5" cm="1">
        <f ca="1" t="array" ref="P51">SQRT(SUMXMY2($B51:$E51,K$3:K$6))</f>
        <v>216.083669864873</v>
      </c>
      <c r="Q51" t="str">
        <f ca="1">INDEX($M$2:$P$2,1,MATCH(MIN(M51:P51),M51:P51,0))</f>
        <v>C1</v>
      </c>
      <c r="R51">
        <v>51</v>
      </c>
      <c r="S51" t="str">
        <f ca="1">INDIRECT($F$1&amp;"!Q"&amp;R51)</f>
        <v>C1</v>
      </c>
      <c r="T51">
        <f ca="1" t="shared" si="0"/>
        <v>0</v>
      </c>
    </row>
    <row r="52" spans="1:20">
      <c r="A52" t="s">
        <v>61</v>
      </c>
      <c r="B52">
        <v>6</v>
      </c>
      <c r="C52">
        <v>143</v>
      </c>
      <c r="D52">
        <v>51</v>
      </c>
      <c r="E52">
        <v>11</v>
      </c>
      <c r="M52" s="5" cm="1">
        <f ca="1" t="array" ref="M52">SQRT(SUMXMY2($B52:$E52,H$3:H$6))</f>
        <v>138.887227184504</v>
      </c>
      <c r="N52" s="5" cm="1">
        <f ca="1" t="array" ref="N52">SQRT(SUMXMY2($B52:$E52,I$3:I$6))</f>
        <v>97.2710768933911</v>
      </c>
      <c r="O52" s="5" cm="1">
        <f ca="1" t="array" ref="O52">SQRT(SUMXMY2($B52:$E52,J$3:J$6))</f>
        <v>38.4272154543361</v>
      </c>
      <c r="P52" s="5" cm="1">
        <f ca="1" t="array" ref="P52">SQRT(SUMXMY2($B52:$E52,K$3:K$6))</f>
        <v>75.3675573311285</v>
      </c>
      <c r="Q52" t="str">
        <f ca="1">INDEX($M$2:$P$2,1,MATCH(MIN(M52:P52),M52:P52,0))</f>
        <v>C3</v>
      </c>
      <c r="R52">
        <v>52</v>
      </c>
      <c r="S52" t="str">
        <f ca="1">INDIRECT($F$1&amp;"!Q"&amp;R52)</f>
        <v>C3</v>
      </c>
      <c r="T52">
        <f ca="1" t="shared" si="0"/>
        <v>0</v>
      </c>
    </row>
  </sheetData>
  <mergeCells count="3">
    <mergeCell ref="G1:K1"/>
    <mergeCell ref="M1:P1"/>
    <mergeCell ref="G10:H1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workbookViewId="0">
      <selection activeCell="K25" sqref="K25"/>
    </sheetView>
  </sheetViews>
  <sheetFormatPr defaultColWidth="9" defaultRowHeight="15"/>
  <cols>
    <col min="10" max="11" width="12.8571428571429"/>
    <col min="13" max="16" width="14.5714285714286"/>
    <col min="19" max="19" width="10.5714285714286" customWidth="1"/>
    <col min="20" max="20" width="10.4285714285714" customWidth="1"/>
  </cols>
  <sheetData>
    <row r="1" spans="6:18">
      <c r="F1">
        <f ca="1">_xlfn.SHEET(A1)-1</f>
        <v>2</v>
      </c>
      <c r="G1" s="4" t="s">
        <v>0</v>
      </c>
      <c r="H1" s="4"/>
      <c r="I1" s="4"/>
      <c r="J1" s="4"/>
      <c r="K1" s="4"/>
      <c r="M1" s="4" t="s">
        <v>1</v>
      </c>
      <c r="N1" s="4"/>
      <c r="O1" s="4"/>
      <c r="P1" s="4"/>
      <c r="R1">
        <v>1</v>
      </c>
    </row>
    <row r="2" spans="1:20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M2" t="s">
        <v>8</v>
      </c>
      <c r="N2" t="s">
        <v>9</v>
      </c>
      <c r="O2" t="s">
        <v>10</v>
      </c>
      <c r="P2" t="s">
        <v>11</v>
      </c>
      <c r="Q2" t="s">
        <v>7</v>
      </c>
      <c r="R2">
        <v>2</v>
      </c>
      <c r="S2" t="s">
        <v>62</v>
      </c>
      <c r="T2" t="s">
        <v>63</v>
      </c>
    </row>
    <row r="3" spans="1:20">
      <c r="A3" t="s">
        <v>12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3</v>
      </c>
      <c r="H3">
        <f ca="1" t="shared" ref="H3:K3" si="0">IFERROR(AVERAGEIFS(INDIRECT($F$1&amp;"!"&amp;ADDRESS(3,$F3,1)):INDIRECT($F$1&amp;"!"&amp;ADDRESS(52,$F3,1)),INDIRECT($F$1&amp;"!$Q$3"):INDIRECT($F$1&amp;"!$Q$52"),H$2),0)</f>
        <v>2</v>
      </c>
      <c r="I3">
        <f ca="1" t="shared" si="0"/>
        <v>2.65454545454545</v>
      </c>
      <c r="J3">
        <f ca="1" t="shared" si="0"/>
        <v>7.66666666666667</v>
      </c>
      <c r="K3">
        <f ca="1" t="shared" si="0"/>
        <v>9.8125</v>
      </c>
      <c r="M3" s="5" cm="1">
        <f ca="1" t="array" ref="M3">SQRT(SUMXMY2($B3:$E3,H$3:H$6))</f>
        <v>189.36383465435</v>
      </c>
      <c r="N3" s="5" cm="1">
        <f ca="1" t="array" ref="N3">SQRT(SUMXMY2($B3:$E3,I$3:I$6))</f>
        <v>146.243904725706</v>
      </c>
      <c r="O3" s="5" cm="1">
        <f ca="1" t="array" ref="O3">SQRT(SUMXMY2($B3:$E3,J$3:J$6))</f>
        <v>73.5444838931589</v>
      </c>
      <c r="P3" s="5" cm="1">
        <f ca="1" t="array" ref="P3">SQRT(SUMXMY2($B3:$E3,K$3:K$6))</f>
        <v>35.7076891229326</v>
      </c>
      <c r="Q3" t="str">
        <f ca="1">INDEX($M$2:$P$2,1,MATCH(MIN(M3:P3),M3:P3,0))</f>
        <v>C4</v>
      </c>
      <c r="R3">
        <v>3</v>
      </c>
      <c r="S3" t="str">
        <f ca="1">INDIRECT($F$1&amp;"!Q"&amp;R3)</f>
        <v>C4</v>
      </c>
      <c r="T3">
        <f ca="1" t="shared" ref="T3:T52" si="1">IF(Q3=S3,0,1)</f>
        <v>0</v>
      </c>
    </row>
    <row r="4" spans="1:20">
      <c r="A4" t="s">
        <v>13</v>
      </c>
      <c r="B4">
        <v>9</v>
      </c>
      <c r="C4">
        <v>222</v>
      </c>
      <c r="D4">
        <v>39</v>
      </c>
      <c r="E4">
        <v>42</v>
      </c>
      <c r="F4">
        <v>3</v>
      </c>
      <c r="G4" t="s">
        <v>4</v>
      </c>
      <c r="H4">
        <f ca="1" t="shared" ref="H4:K4" si="2">IFERROR(AVERAGEIFS(INDIRECT($F$1&amp;"!"&amp;ADDRESS(3,$F4,1)):INDIRECT($F$1&amp;"!"&amp;ADDRESS(52,$F4,1)),INDIRECT($F$1&amp;"!$Q$3"):INDIRECT($F$1&amp;"!$Q$52"),H$2),0)</f>
        <v>4.175</v>
      </c>
      <c r="I4">
        <f ca="1" t="shared" si="2"/>
        <v>47.3636363636364</v>
      </c>
      <c r="J4">
        <f ca="1" t="shared" si="2"/>
        <v>121.333333333333</v>
      </c>
      <c r="K4">
        <f ca="1" t="shared" si="2"/>
        <v>226.0625</v>
      </c>
      <c r="M4" s="5" cm="1">
        <f ca="1" t="array" ref="M4">SQRT(SUMXMY2($B4:$E4,H$3:H$6))</f>
        <v>220.539705892159</v>
      </c>
      <c r="N4" s="5" cm="1">
        <f ca="1" t="array" ref="N4">SQRT(SUMXMY2($B4:$E4,I$3:I$6))</f>
        <v>177.945925484947</v>
      </c>
      <c r="O4" s="5" cm="1">
        <f ca="1" t="array" ref="O4">SQRT(SUMXMY2($B4:$E4,J$3:J$6))</f>
        <v>106.849697134703</v>
      </c>
      <c r="P4" s="5" cm="1">
        <f ca="1" t="array" ref="P4">SQRT(SUMXMY2($B4:$E4,K$3:K$6))</f>
        <v>28.2628565877549</v>
      </c>
      <c r="Q4" t="str">
        <f ca="1">INDEX($M$2:$P$2,1,MATCH(MIN(M4:P4),M4:P4,0))</f>
        <v>C4</v>
      </c>
      <c r="R4">
        <v>4</v>
      </c>
      <c r="S4" t="str">
        <f ca="1">INDIRECT($F$1&amp;"!Q"&amp;R4)</f>
        <v>C4</v>
      </c>
      <c r="T4">
        <f ca="1" t="shared" si="1"/>
        <v>0</v>
      </c>
    </row>
    <row r="5" spans="1:20">
      <c r="A5" t="s">
        <v>14</v>
      </c>
      <c r="B5">
        <v>6</v>
      </c>
      <c r="C5">
        <v>226</v>
      </c>
      <c r="D5">
        <v>72</v>
      </c>
      <c r="E5">
        <v>30</v>
      </c>
      <c r="F5">
        <v>4</v>
      </c>
      <c r="G5" t="s">
        <v>5</v>
      </c>
      <c r="H5">
        <f ca="1" t="shared" ref="H5:K5" si="3">IFERROR(AVERAGEIFS(INDIRECT($F$1&amp;"!"&amp;ADDRESS(3,$F5,1)):INDIRECT($F$1&amp;"!"&amp;ADDRESS(52,$F5,1)),INDIRECT($F$1&amp;"!$Q$3"):INDIRECT($F$1&amp;"!$Q$52"),H$2),0)</f>
        <v>52.125</v>
      </c>
      <c r="I5">
        <f ca="1" t="shared" si="3"/>
        <v>57.0909090909091</v>
      </c>
      <c r="J5">
        <f ca="1" t="shared" si="3"/>
        <v>66.8666666666667</v>
      </c>
      <c r="K5">
        <f ca="1" t="shared" si="3"/>
        <v>62.75</v>
      </c>
      <c r="M5" s="5" cm="1">
        <f ca="1" t="array" ref="M5">SQRT(SUMXMY2($B5:$E5,H$3:H$6))</f>
        <v>223.569031565197</v>
      </c>
      <c r="N5" s="5" cm="1">
        <f ca="1" t="array" ref="N5">SQRT(SUMXMY2($B5:$E5,I$3:I$6))</f>
        <v>180.025623520561</v>
      </c>
      <c r="O5" s="5" cm="1">
        <f ca="1" t="array" ref="O5">SQRT(SUMXMY2($B5:$E5,J$3:J$6))</f>
        <v>105.327067324174</v>
      </c>
      <c r="P5" s="5" cm="1">
        <f ca="1" t="array" ref="P5">SQRT(SUMXMY2($B5:$E5,K$3:K$6))</f>
        <v>10.3761294565941</v>
      </c>
      <c r="Q5" t="str">
        <f ca="1">INDEX($M$2:$P$2,1,MATCH(MIN(M5:P5),M5:P5,0))</f>
        <v>C4</v>
      </c>
      <c r="R5">
        <v>5</v>
      </c>
      <c r="S5" t="str">
        <f ca="1">INDIRECT($F$1&amp;"!Q"&amp;R5)</f>
        <v>C4</v>
      </c>
      <c r="T5">
        <f ca="1" t="shared" si="1"/>
        <v>0</v>
      </c>
    </row>
    <row r="6" spans="1:20">
      <c r="A6" t="s">
        <v>15</v>
      </c>
      <c r="B6">
        <v>8</v>
      </c>
      <c r="C6">
        <v>177</v>
      </c>
      <c r="D6">
        <v>50</v>
      </c>
      <c r="E6">
        <v>17</v>
      </c>
      <c r="F6">
        <v>5</v>
      </c>
      <c r="G6" t="s">
        <v>6</v>
      </c>
      <c r="H6">
        <f ca="1" t="shared" ref="H6:K6" si="4">IFERROR(AVERAGEIFS(INDIRECT($F$1&amp;"!"&amp;ADDRESS(3,$F6,1)):INDIRECT($F$1&amp;"!"&amp;ADDRESS(52,$F6,1)),INDIRECT($F$1&amp;"!$Q$3"):INDIRECT($F$1&amp;"!$Q$52"),H$2),0)</f>
        <v>10.875</v>
      </c>
      <c r="I6">
        <f ca="1" t="shared" si="4"/>
        <v>13.7272727272727</v>
      </c>
      <c r="J6">
        <f ca="1" t="shared" si="4"/>
        <v>19.5333333333333</v>
      </c>
      <c r="K6">
        <f ca="1" t="shared" si="4"/>
        <v>27.25</v>
      </c>
      <c r="M6" s="5" cm="1">
        <f ca="1" t="array" ref="M6">SQRT(SUMXMY2($B6:$E6,H$3:H$6))</f>
        <v>173.050604954158</v>
      </c>
      <c r="N6" s="5" cm="1">
        <f ca="1" t="array" ref="N6">SQRT(SUMXMY2($B6:$E6,I$3:I$6))</f>
        <v>129.981354034701</v>
      </c>
      <c r="O6" s="5" cm="1">
        <f ca="1" t="array" ref="O6">SQRT(SUMXMY2($B6:$E6,J$3:J$6))</f>
        <v>58.2219126370056</v>
      </c>
      <c r="P6" s="5" cm="1">
        <f ca="1" t="array" ref="P6">SQRT(SUMXMY2($B6:$E6,K$3:K$6))</f>
        <v>51.7497735502292</v>
      </c>
      <c r="Q6" t="str">
        <f ca="1">INDEX($M$2:$P$2,1,MATCH(MIN(M6:P6),M6:P6,0))</f>
        <v>C4</v>
      </c>
      <c r="R6">
        <v>6</v>
      </c>
      <c r="S6" t="str">
        <f ca="1">INDIRECT($F$1&amp;"!Q"&amp;R6)</f>
        <v>C4</v>
      </c>
      <c r="T6">
        <f ca="1" t="shared" si="1"/>
        <v>0</v>
      </c>
    </row>
    <row r="7" spans="1:20">
      <c r="A7" t="s">
        <v>16</v>
      </c>
      <c r="B7">
        <v>7</v>
      </c>
      <c r="C7">
        <v>235</v>
      </c>
      <c r="D7">
        <v>86</v>
      </c>
      <c r="E7">
        <v>39</v>
      </c>
      <c r="M7" s="5" cm="1">
        <f ca="1" t="array" ref="M7">SQRT(SUMXMY2($B7:$E7,H$3:H$6))</f>
        <v>235.039809128156</v>
      </c>
      <c r="N7" s="5" cm="1">
        <f ca="1" t="array" ref="N7">SQRT(SUMXMY2($B7:$E7,I$3:I$6))</f>
        <v>191.574356882324</v>
      </c>
      <c r="O7" s="5" cm="1">
        <f ca="1" t="array" ref="O7">SQRT(SUMXMY2($B7:$E7,J$3:J$6))</f>
        <v>116.899919209173</v>
      </c>
      <c r="P7" s="5" cm="1">
        <f ca="1" t="array" ref="P7">SQRT(SUMXMY2($B7:$E7,K$3:K$6))</f>
        <v>27.6841843387159</v>
      </c>
      <c r="Q7" t="str">
        <f ca="1">INDEX($M$2:$P$2,1,MATCH(MIN(M7:P7),M7:P7,0))</f>
        <v>C4</v>
      </c>
      <c r="R7">
        <v>7</v>
      </c>
      <c r="S7" t="str">
        <f ca="1">INDIRECT($F$1&amp;"!Q"&amp;R7)</f>
        <v>C4</v>
      </c>
      <c r="T7">
        <f ca="1" t="shared" si="1"/>
        <v>0</v>
      </c>
    </row>
    <row r="8" spans="1:20">
      <c r="A8" t="s">
        <v>17</v>
      </c>
      <c r="B8">
        <v>5</v>
      </c>
      <c r="C8">
        <v>170</v>
      </c>
      <c r="D8">
        <v>78</v>
      </c>
      <c r="E8">
        <v>37</v>
      </c>
      <c r="M8" s="5" cm="1">
        <f ca="1" t="array" ref="M8">SQRT(SUMXMY2($B8:$E8,H$3:H$6))</f>
        <v>169.879256753142</v>
      </c>
      <c r="N8" s="5" cm="1">
        <f ca="1" t="array" ref="N8">SQRT(SUMXMY2($B8:$E8,I$3:I$6))</f>
        <v>126.585894792155</v>
      </c>
      <c r="O8" s="5" cm="1">
        <f ca="1" t="array" ref="O8">SQRT(SUMXMY2($B8:$E8,J$3:J$6))</f>
        <v>52.9583903750021</v>
      </c>
      <c r="P8" s="5" cm="1">
        <f ca="1" t="array" ref="P8">SQRT(SUMXMY2($B8:$E8,K$3:K$6))</f>
        <v>59.1082825203034</v>
      </c>
      <c r="Q8" t="str">
        <f ca="1">INDEX($M$2:$P$2,1,MATCH(MIN(M8:P8),M8:P8,0))</f>
        <v>C3</v>
      </c>
      <c r="R8">
        <v>8</v>
      </c>
      <c r="S8" t="str">
        <f ca="1">INDIRECT($F$1&amp;"!Q"&amp;R8)</f>
        <v>C4</v>
      </c>
      <c r="T8">
        <f ca="1" t="shared" si="1"/>
        <v>1</v>
      </c>
    </row>
    <row r="9" spans="1:20">
      <c r="A9" t="s">
        <v>18</v>
      </c>
      <c r="B9">
        <v>0</v>
      </c>
      <c r="C9">
        <v>35</v>
      </c>
      <c r="D9">
        <v>75</v>
      </c>
      <c r="E9">
        <v>7</v>
      </c>
      <c r="M9" s="5" cm="1">
        <f ca="1" t="array" ref="M9">SQRT(SUMXMY2($B9:$E9,H$3:H$6))</f>
        <v>38.6323941142663</v>
      </c>
      <c r="N9" s="5" cm="1">
        <f ca="1" t="array" ref="N9">SQRT(SUMXMY2($B9:$E9,I$3:I$6))</f>
        <v>22.9324628254287</v>
      </c>
      <c r="O9" s="5" cm="1">
        <f ca="1" t="array" ref="O9">SQRT(SUMXMY2($B9:$E9,J$3:J$6))</f>
        <v>87.9514512545289</v>
      </c>
      <c r="P9" s="5" cm="1">
        <f ca="1" t="array" ref="P9">SQRT(SUMXMY2($B9:$E9,K$3:K$6))</f>
        <v>192.772635668292</v>
      </c>
      <c r="Q9" t="str">
        <f ca="1">INDEX($M$2:$P$2,1,MATCH(MIN(M9:P9),M9:P9,0))</f>
        <v>C2</v>
      </c>
      <c r="R9">
        <v>9</v>
      </c>
      <c r="S9" t="str">
        <f ca="1">INDIRECT($F$1&amp;"!Q"&amp;R9)</f>
        <v>C2</v>
      </c>
      <c r="T9">
        <f ca="1" t="shared" si="1"/>
        <v>0</v>
      </c>
    </row>
    <row r="10" spans="1:20">
      <c r="A10" t="s">
        <v>19</v>
      </c>
      <c r="B10">
        <v>4</v>
      </c>
      <c r="C10">
        <v>198</v>
      </c>
      <c r="D10">
        <v>70</v>
      </c>
      <c r="E10">
        <v>15</v>
      </c>
      <c r="G10" s="4" t="s">
        <v>64</v>
      </c>
      <c r="H10" s="4"/>
      <c r="I10">
        <f ca="1">SUM(T3:T52)</f>
        <v>4</v>
      </c>
      <c r="M10" s="5" cm="1">
        <f ca="1" t="array" ref="M10">SQRT(SUMXMY2($B10:$E10,H$3:H$6))</f>
        <v>194.701468600008</v>
      </c>
      <c r="N10" s="5" cm="1">
        <f ca="1" t="array" ref="N10">SQRT(SUMXMY2($B10:$E10,I$3:I$6))</f>
        <v>151.199830556554</v>
      </c>
      <c r="O10" s="5" cm="1">
        <f ca="1" t="array" ref="O10">SQRT(SUMXMY2($B10:$E10,J$3:J$6))</f>
        <v>76.951875293011</v>
      </c>
      <c r="P10" s="5" cm="1">
        <f ca="1" t="array" ref="P10">SQRT(SUMXMY2($B10:$E10,K$3:K$6))</f>
        <v>31.9986571983888</v>
      </c>
      <c r="Q10" t="str">
        <f ca="1">INDEX($M$2:$P$2,1,MATCH(MIN(M10:P10),M10:P10,0))</f>
        <v>C4</v>
      </c>
      <c r="R10">
        <v>10</v>
      </c>
      <c r="S10" t="str">
        <f ca="1">INDIRECT($F$1&amp;"!Q"&amp;R10)</f>
        <v>C4</v>
      </c>
      <c r="T10">
        <f ca="1" t="shared" si="1"/>
        <v>0</v>
      </c>
    </row>
    <row r="11" spans="1:20">
      <c r="A11" t="s">
        <v>20</v>
      </c>
      <c r="B11">
        <v>13</v>
      </c>
      <c r="C11">
        <v>259</v>
      </c>
      <c r="D11">
        <v>74</v>
      </c>
      <c r="E11">
        <v>30</v>
      </c>
      <c r="M11" s="5" cm="1">
        <f ca="1" t="array" ref="M11">SQRT(SUMXMY2($B11:$E11,H$3:H$6))</f>
        <v>256.712021290395</v>
      </c>
      <c r="N11" s="5" cm="1">
        <f ca="1" t="array" ref="N11">SQRT(SUMXMY2($B11:$E11,I$3:I$6))</f>
        <v>213.18465669752</v>
      </c>
      <c r="O11" s="5" cm="1">
        <f ca="1" t="array" ref="O11">SQRT(SUMXMY2($B11:$E11,J$3:J$6))</f>
        <v>138.350970763169</v>
      </c>
      <c r="P11" s="5" cm="1">
        <f ca="1" t="array" ref="P11">SQRT(SUMXMY2($B11:$E11,K$3:K$6))</f>
        <v>35.0594361406455</v>
      </c>
      <c r="Q11" t="str">
        <f ca="1">INDEX($M$2:$P$2,1,MATCH(MIN(M11:P11),M11:P11,0))</f>
        <v>C4</v>
      </c>
      <c r="R11">
        <v>11</v>
      </c>
      <c r="S11" t="str">
        <f ca="1">INDIRECT($F$1&amp;"!Q"&amp;R11)</f>
        <v>C4</v>
      </c>
      <c r="T11">
        <f ca="1" t="shared" si="1"/>
        <v>0</v>
      </c>
    </row>
    <row r="12" spans="1:20">
      <c r="A12" t="s">
        <v>21</v>
      </c>
      <c r="B12">
        <v>15</v>
      </c>
      <c r="C12">
        <v>136</v>
      </c>
      <c r="D12">
        <v>52</v>
      </c>
      <c r="E12">
        <v>24</v>
      </c>
      <c r="M12" s="5" cm="1">
        <f ca="1" t="array" ref="M12">SQRT(SUMXMY2($B12:$E12,H$3:H$6))</f>
        <v>133.113154402561</v>
      </c>
      <c r="N12" s="5" cm="1">
        <f ca="1" t="array" ref="N12">SQRT(SUMXMY2($B12:$E12,I$3:I$6))</f>
        <v>90.2233976726841</v>
      </c>
      <c r="O12" s="5" cm="1">
        <f ca="1" t="array" ref="O12">SQRT(SUMXMY2($B12:$E12,J$3:J$6))</f>
        <v>22.5800305087876</v>
      </c>
      <c r="P12" s="5" cm="1">
        <f ca="1" t="array" ref="P12">SQRT(SUMXMY2($B12:$E12,K$3:K$6))</f>
        <v>90.9081352932728</v>
      </c>
      <c r="Q12" t="str">
        <f ca="1">INDEX($M$2:$P$2,1,MATCH(MIN(M12:P12),M12:P12,0))</f>
        <v>C3</v>
      </c>
      <c r="R12">
        <v>12</v>
      </c>
      <c r="S12" t="str">
        <f ca="1">INDIRECT($F$1&amp;"!Q"&amp;R12)</f>
        <v>C3</v>
      </c>
      <c r="T12">
        <f ca="1" t="shared" si="1"/>
        <v>0</v>
      </c>
    </row>
    <row r="13" spans="1:20">
      <c r="A13" t="s">
        <v>22</v>
      </c>
      <c r="B13">
        <v>5</v>
      </c>
      <c r="C13">
        <v>32</v>
      </c>
      <c r="D13">
        <v>82</v>
      </c>
      <c r="E13">
        <v>17</v>
      </c>
      <c r="M13" s="5" cm="1">
        <f ca="1" t="array" ref="M13">SQRT(SUMXMY2($B13:$E13,H$3:H$6))</f>
        <v>41.3915676799031</v>
      </c>
      <c r="N13" s="5" cm="1">
        <f ca="1" t="array" ref="N13">SQRT(SUMXMY2($B13:$E13,I$3:I$6))</f>
        <v>29.5417676021231</v>
      </c>
      <c r="O13" s="5" cm="1">
        <f ca="1" t="array" ref="O13">SQRT(SUMXMY2($B13:$E13,J$3:J$6))</f>
        <v>90.6807096967768</v>
      </c>
      <c r="P13" s="5" cm="1">
        <f ca="1" t="array" ref="P13">SQRT(SUMXMY2($B13:$E13,K$3:K$6))</f>
        <v>195.343387557654</v>
      </c>
      <c r="Q13" t="str">
        <f ca="1">INDEX($M$2:$P$2,1,MATCH(MIN(M13:P13),M13:P13,0))</f>
        <v>C2</v>
      </c>
      <c r="R13">
        <v>13</v>
      </c>
      <c r="S13" t="str">
        <f ca="1">INDIRECT($F$1&amp;"!Q"&amp;R13)</f>
        <v>C2</v>
      </c>
      <c r="T13">
        <f ca="1" t="shared" si="1"/>
        <v>0</v>
      </c>
    </row>
    <row r="14" spans="1:20">
      <c r="A14" t="s">
        <v>23</v>
      </c>
      <c r="B14">
        <v>0</v>
      </c>
      <c r="C14">
        <v>54</v>
      </c>
      <c r="D14">
        <v>47</v>
      </c>
      <c r="E14">
        <v>12</v>
      </c>
      <c r="M14" s="5" cm="1">
        <f ca="1" t="array" ref="M14">SQRT(SUMXMY2($B14:$E14,H$3:H$6))</f>
        <v>50.1404215678329</v>
      </c>
      <c r="N14" s="5" cm="1">
        <f ca="1" t="array" ref="N14">SQRT(SUMXMY2($B14:$E14,I$3:I$6))</f>
        <v>12.4859061040707</v>
      </c>
      <c r="O14" s="5" cm="1">
        <f ca="1" t="array" ref="O14">SQRT(SUMXMY2($B14:$E14,J$3:J$6))</f>
        <v>71.0210610390404</v>
      </c>
      <c r="P14" s="5" cm="1">
        <f ca="1" t="array" ref="P14">SQRT(SUMXMY2($B14:$E14,K$3:K$6))</f>
        <v>173.730866752284</v>
      </c>
      <c r="Q14" t="str">
        <f ca="1">INDEX($M$2:$P$2,1,MATCH(MIN(M14:P14),M14:P14,0))</f>
        <v>C2</v>
      </c>
      <c r="R14">
        <v>14</v>
      </c>
      <c r="S14" t="str">
        <f ca="1">INDIRECT($F$1&amp;"!Q"&amp;R14)</f>
        <v>C2</v>
      </c>
      <c r="T14">
        <f ca="1" t="shared" si="1"/>
        <v>0</v>
      </c>
    </row>
    <row r="15" spans="1:20">
      <c r="A15" t="s">
        <v>24</v>
      </c>
      <c r="B15">
        <v>10</v>
      </c>
      <c r="C15">
        <v>218</v>
      </c>
      <c r="D15">
        <v>79</v>
      </c>
      <c r="E15">
        <v>20</v>
      </c>
      <c r="M15" s="5" cm="1">
        <f ca="1" t="array" ref="M15">SQRT(SUMXMY2($B15:$E15,H$3:H$6))</f>
        <v>215.848701351201</v>
      </c>
      <c r="N15" s="5" cm="1">
        <f ca="1" t="array" ref="N15">SQRT(SUMXMY2($B15:$E15,I$3:I$6))</f>
        <v>172.308095194107</v>
      </c>
      <c r="O15" s="5" cm="1">
        <f ca="1" t="array" ref="O15">SQRT(SUMXMY2($B15:$E15,J$3:J$6))</f>
        <v>97.4542171711643</v>
      </c>
      <c r="P15" s="5" cm="1">
        <f ca="1" t="array" ref="P15">SQRT(SUMXMY2($B15:$E15,K$3:K$6))</f>
        <v>19.5362243665453</v>
      </c>
      <c r="Q15" t="str">
        <f ca="1">INDEX($M$2:$P$2,1,MATCH(MIN(M15:P15),M15:P15,0))</f>
        <v>C4</v>
      </c>
      <c r="R15">
        <v>15</v>
      </c>
      <c r="S15" t="str">
        <f ca="1">INDIRECT($F$1&amp;"!Q"&amp;R15)</f>
        <v>C4</v>
      </c>
      <c r="T15">
        <f ca="1" t="shared" si="1"/>
        <v>0</v>
      </c>
    </row>
    <row r="16" spans="1:20">
      <c r="A16" t="s">
        <v>25</v>
      </c>
      <c r="B16">
        <v>7</v>
      </c>
      <c r="C16">
        <v>26</v>
      </c>
      <c r="D16">
        <v>65</v>
      </c>
      <c r="E16">
        <v>19</v>
      </c>
      <c r="M16" s="5" cm="1">
        <f ca="1" t="array" ref="M16">SQRT(SUMXMY2($B16:$E16,H$3:H$6))</f>
        <v>27.0760387612368</v>
      </c>
      <c r="N16" s="5" cm="1">
        <f ca="1" t="array" ref="N16">SQRT(SUMXMY2($B16:$E16,I$3:I$6))</f>
        <v>23.783256837219</v>
      </c>
      <c r="O16" s="5" cm="1">
        <f ca="1" t="array" ref="O16">SQRT(SUMXMY2($B16:$E16,J$3:J$6))</f>
        <v>95.3554286749201</v>
      </c>
      <c r="P16" s="5" cm="1">
        <f ca="1" t="array" ref="P16">SQRT(SUMXMY2($B16:$E16,K$3:K$6))</f>
        <v>200.264922196824</v>
      </c>
      <c r="Q16" t="str">
        <f ca="1">INDEX($M$2:$P$2,1,MATCH(MIN(M16:P16),M16:P16,0))</f>
        <v>C2</v>
      </c>
      <c r="R16">
        <v>16</v>
      </c>
      <c r="S16" t="str">
        <f ca="1">INDIRECT($F$1&amp;"!Q"&amp;R16)</f>
        <v>C2</v>
      </c>
      <c r="T16">
        <f ca="1" t="shared" si="1"/>
        <v>0</v>
      </c>
    </row>
    <row r="17" spans="1:20">
      <c r="A17" t="s">
        <v>26</v>
      </c>
      <c r="B17">
        <v>2</v>
      </c>
      <c r="C17">
        <v>0.1</v>
      </c>
      <c r="D17">
        <v>53</v>
      </c>
      <c r="E17">
        <v>9</v>
      </c>
      <c r="M17" s="5" cm="1">
        <f ca="1" t="array" ref="M17">SQRT(SUMXMY2($B17:$E17,H$3:H$6))</f>
        <v>4.5702160780427</v>
      </c>
      <c r="N17" s="5" cm="1">
        <f ca="1" t="array" ref="N17">SQRT(SUMXMY2($B17:$E17,I$3:I$6))</f>
        <v>47.6797902333286</v>
      </c>
      <c r="O17" s="5" cm="1">
        <f ca="1" t="array" ref="O17">SQRT(SUMXMY2($B17:$E17,J$3:J$6))</f>
        <v>122.608595855991</v>
      </c>
      <c r="P17" s="5" cm="1">
        <f ca="1" t="array" ref="P17">SQRT(SUMXMY2($B17:$E17,K$3:K$6))</f>
        <v>227.042312273506</v>
      </c>
      <c r="Q17" t="str">
        <f ca="1">INDEX($M$2:$P$2,1,MATCH(MIN(M17:P17),M17:P17,0))</f>
        <v>C1</v>
      </c>
      <c r="R17">
        <v>17</v>
      </c>
      <c r="S17" t="str">
        <f ca="1">INDIRECT($F$1&amp;"!Q"&amp;R17)</f>
        <v>C1</v>
      </c>
      <c r="T17">
        <f ca="1" t="shared" si="1"/>
        <v>0</v>
      </c>
    </row>
    <row r="18" spans="1:20">
      <c r="A18" t="s">
        <v>27</v>
      </c>
      <c r="B18">
        <v>3</v>
      </c>
      <c r="C18">
        <v>80</v>
      </c>
      <c r="D18">
        <v>56</v>
      </c>
      <c r="E18">
        <v>16</v>
      </c>
      <c r="M18" s="5" cm="1">
        <f ca="1" t="array" ref="M18">SQRT(SUMXMY2($B18:$E18,H$3:H$6))</f>
        <v>76.1032973989958</v>
      </c>
      <c r="N18" s="5" cm="1">
        <f ca="1" t="array" ref="N18">SQRT(SUMXMY2($B18:$E18,I$3:I$6))</f>
        <v>32.7354080797653</v>
      </c>
      <c r="O18" s="5" cm="1">
        <f ca="1" t="array" ref="O18">SQRT(SUMXMY2($B18:$E18,J$3:J$6))</f>
        <v>43.1368880554811</v>
      </c>
      <c r="P18" s="5" cm="1">
        <f ca="1" t="array" ref="P18">SQRT(SUMXMY2($B18:$E18,K$3:K$6))</f>
        <v>146.808681836259</v>
      </c>
      <c r="Q18" t="str">
        <f ca="1">INDEX($M$2:$P$2,1,MATCH(MIN(M18:P18),M18:P18,0))</f>
        <v>C2</v>
      </c>
      <c r="R18">
        <v>18</v>
      </c>
      <c r="S18" t="str">
        <f ca="1">INDIRECT($F$1&amp;"!Q"&amp;R18)</f>
        <v>C3</v>
      </c>
      <c r="T18">
        <f ca="1" t="shared" si="1"/>
        <v>1</v>
      </c>
    </row>
    <row r="19" spans="1:20">
      <c r="A19" t="s">
        <v>28</v>
      </c>
      <c r="B19">
        <v>7</v>
      </c>
      <c r="C19">
        <v>70</v>
      </c>
      <c r="D19">
        <v>43</v>
      </c>
      <c r="E19">
        <v>15</v>
      </c>
      <c r="M19" s="5" cm="1">
        <f ca="1" t="array" ref="M19">SQRT(SUMXMY2($B19:$E19,H$3:H$6))</f>
        <v>66.7698425563517</v>
      </c>
      <c r="N19" s="5" cm="1">
        <f ca="1" t="array" ref="N19">SQRT(SUMXMY2($B19:$E19,I$3:I$6))</f>
        <v>27.0455446904533</v>
      </c>
      <c r="O19" s="5" cm="1">
        <f ca="1" t="array" ref="O19">SQRT(SUMXMY2($B19:$E19,J$3:J$6))</f>
        <v>56.7954614775199</v>
      </c>
      <c r="P19" s="5" cm="1">
        <f ca="1" t="array" ref="P19">SQRT(SUMXMY2($B19:$E19,K$3:K$6))</f>
        <v>157.808551930813</v>
      </c>
      <c r="Q19" t="str">
        <f ca="1">INDEX($M$2:$P$2,1,MATCH(MIN(M19:P19),M19:P19,0))</f>
        <v>C2</v>
      </c>
      <c r="R19">
        <v>19</v>
      </c>
      <c r="S19" t="str">
        <f ca="1">INDIRECT($F$1&amp;"!Q"&amp;R19)</f>
        <v>C2</v>
      </c>
      <c r="T19">
        <f ca="1" t="shared" si="1"/>
        <v>0</v>
      </c>
    </row>
    <row r="20" spans="1:20">
      <c r="A20" t="s">
        <v>29</v>
      </c>
      <c r="B20">
        <v>15</v>
      </c>
      <c r="C20">
        <v>159</v>
      </c>
      <c r="D20">
        <v>61</v>
      </c>
      <c r="E20">
        <v>19</v>
      </c>
      <c r="M20" s="5" cm="1">
        <f ca="1" t="array" ref="M20">SQRT(SUMXMY2($B20:$E20,H$3:H$6))</f>
        <v>155.835047004838</v>
      </c>
      <c r="N20" s="5" cm="1">
        <f ca="1" t="array" ref="N20">SQRT(SUMXMY2($B20:$E20,I$3:I$6))</f>
        <v>112.508535580694</v>
      </c>
      <c r="O20" s="5" cm="1">
        <f ca="1" t="array" ref="O20">SQRT(SUMXMY2($B20:$E20,J$3:J$6))</f>
        <v>38.8234179043754</v>
      </c>
      <c r="P20" s="5" cm="1">
        <f ca="1" t="array" ref="P20">SQRT(SUMXMY2($B20:$E20,K$3:K$6))</f>
        <v>67.789483421103</v>
      </c>
      <c r="Q20" t="str">
        <f ca="1">INDEX($M$2:$P$2,1,MATCH(MIN(M20:P20),M20:P20,0))</f>
        <v>C3</v>
      </c>
      <c r="R20">
        <v>20</v>
      </c>
      <c r="S20" t="str">
        <f ca="1">INDIRECT($F$1&amp;"!Q"&amp;R20)</f>
        <v>C3</v>
      </c>
      <c r="T20">
        <f ca="1" t="shared" si="1"/>
        <v>0</v>
      </c>
    </row>
    <row r="21" spans="1:20">
      <c r="A21" t="s">
        <v>30</v>
      </c>
      <c r="B21">
        <v>1</v>
      </c>
      <c r="C21">
        <v>0.1</v>
      </c>
      <c r="D21">
        <v>45</v>
      </c>
      <c r="E21">
        <v>7</v>
      </c>
      <c r="M21" s="5" cm="1">
        <f ca="1" t="array" ref="M21">SQRT(SUMXMY2($B21:$E21,H$3:H$6))</f>
        <v>9.13164141871548</v>
      </c>
      <c r="N21" s="5" cm="1">
        <f ca="1" t="array" ref="N21">SQRT(SUMXMY2($B21:$E21,I$3:I$6))</f>
        <v>49.2750963871908</v>
      </c>
      <c r="O21" s="5" cm="1">
        <f ca="1" t="array" ref="O21">SQRT(SUMXMY2($B21:$E21,J$3:J$6))</f>
        <v>124.004843095385</v>
      </c>
      <c r="P21" s="5" cm="1">
        <f ca="1" t="array" ref="P21">SQRT(SUMXMY2($B21:$E21,K$3:K$6))</f>
        <v>227.731940145646</v>
      </c>
      <c r="Q21" t="str">
        <f ca="1">INDEX($M$2:$P$2,1,MATCH(MIN(M21:P21),M21:P21,0))</f>
        <v>C1</v>
      </c>
      <c r="R21">
        <v>21</v>
      </c>
      <c r="S21" t="str">
        <f ca="1">INDIRECT($F$1&amp;"!Q"&amp;R21)</f>
        <v>C1</v>
      </c>
      <c r="T21">
        <f ca="1" t="shared" si="1"/>
        <v>0</v>
      </c>
    </row>
    <row r="22" spans="1:20">
      <c r="A22" t="s">
        <v>31</v>
      </c>
      <c r="B22">
        <v>10</v>
      </c>
      <c r="C22">
        <v>260</v>
      </c>
      <c r="D22">
        <v>63</v>
      </c>
      <c r="E22">
        <v>28</v>
      </c>
      <c r="M22" s="5" cm="1">
        <f ca="1" t="array" ref="M22">SQRT(SUMXMY2($B22:$E22,H$3:H$6))</f>
        <v>256.752725155937</v>
      </c>
      <c r="N22" s="5" cm="1">
        <f ca="1" t="array" ref="N22">SQRT(SUMXMY2($B22:$E22,I$3:I$6))</f>
        <v>213.323245198803</v>
      </c>
      <c r="O22" s="5" cm="1">
        <f ca="1" t="array" ref="O22">SQRT(SUMXMY2($B22:$E22,J$3:J$6))</f>
        <v>138.998289357979</v>
      </c>
      <c r="P22" s="5" cm="1">
        <f ca="1" t="array" ref="P22">SQRT(SUMXMY2($B22:$E22,K$3:K$6))</f>
        <v>33.9472246656483</v>
      </c>
      <c r="Q22" t="str">
        <f ca="1">INDEX($M$2:$P$2,1,MATCH(MIN(M22:P22),M22:P22,0))</f>
        <v>C4</v>
      </c>
      <c r="R22">
        <v>22</v>
      </c>
      <c r="S22" t="str">
        <f ca="1">INDIRECT($F$1&amp;"!Q"&amp;R22)</f>
        <v>C4</v>
      </c>
      <c r="T22">
        <f ca="1" t="shared" si="1"/>
        <v>0</v>
      </c>
    </row>
    <row r="23" spans="1:20">
      <c r="A23" t="s">
        <v>32</v>
      </c>
      <c r="B23">
        <v>2</v>
      </c>
      <c r="C23">
        <v>138</v>
      </c>
      <c r="D23">
        <v>82</v>
      </c>
      <c r="E23">
        <v>13</v>
      </c>
      <c r="M23" s="5" cm="1">
        <f ca="1" t="array" ref="M23">SQRT(SUMXMY2($B23:$E23,H$3:H$6))</f>
        <v>137.135560213243</v>
      </c>
      <c r="N23" s="5" cm="1">
        <f ca="1" t="array" ref="N23">SQRT(SUMXMY2($B23:$E23,I$3:I$6))</f>
        <v>94.0019711416329</v>
      </c>
      <c r="O23" s="5" cm="1">
        <f ca="1" t="array" ref="O23">SQRT(SUMXMY2($B23:$E23,J$3:J$6))</f>
        <v>24.1162001797777</v>
      </c>
      <c r="P23" s="5" cm="1">
        <f ca="1" t="array" ref="P23">SQRT(SUMXMY2($B23:$E23,K$3:K$6))</f>
        <v>91.5951093809053</v>
      </c>
      <c r="Q23" t="str">
        <f ca="1">INDEX($M$2:$P$2,1,MATCH(MIN(M23:P23),M23:P23,0))</f>
        <v>C3</v>
      </c>
      <c r="R23">
        <v>23</v>
      </c>
      <c r="S23" t="str">
        <f ca="1">INDIRECT($F$1&amp;"!Q"&amp;R23)</f>
        <v>C3</v>
      </c>
      <c r="T23">
        <f ca="1" t="shared" si="1"/>
        <v>0</v>
      </c>
    </row>
    <row r="24" spans="1:20">
      <c r="A24" t="s">
        <v>33</v>
      </c>
      <c r="B24">
        <v>11</v>
      </c>
      <c r="C24">
        <v>251</v>
      </c>
      <c r="D24">
        <v>68</v>
      </c>
      <c r="E24">
        <v>35</v>
      </c>
      <c r="M24" s="5" cm="1">
        <f ca="1" t="array" ref="M24">SQRT(SUMXMY2($B24:$E24,H$3:H$6))</f>
        <v>248.671694961449</v>
      </c>
      <c r="N24" s="5" cm="1">
        <f ca="1" t="array" ref="N24">SQRT(SUMXMY2($B24:$E24,I$3:I$6))</f>
        <v>205.204659783091</v>
      </c>
      <c r="O24" s="5" cm="1">
        <f ca="1" t="array" ref="O24">SQRT(SUMXMY2($B24:$E24,J$3:J$6))</f>
        <v>130.633295058258</v>
      </c>
      <c r="P24" s="5" cm="1">
        <f ca="1" t="array" ref="P24">SQRT(SUMXMY2($B24:$E24,K$3:K$6))</f>
        <v>26.6629717492256</v>
      </c>
      <c r="Q24" t="str">
        <f ca="1">INDEX($M$2:$P$2,1,MATCH(MIN(M24:P24),M24:P24,0))</f>
        <v>C4</v>
      </c>
      <c r="R24">
        <v>24</v>
      </c>
      <c r="S24" t="str">
        <f ca="1">INDIRECT($F$1&amp;"!Q"&amp;R24)</f>
        <v>C4</v>
      </c>
      <c r="T24">
        <f ca="1" t="shared" si="1"/>
        <v>0</v>
      </c>
    </row>
    <row r="25" spans="1:20">
      <c r="A25" t="s">
        <v>34</v>
      </c>
      <c r="B25">
        <v>1</v>
      </c>
      <c r="C25">
        <v>3</v>
      </c>
      <c r="D25">
        <v>62</v>
      </c>
      <c r="E25">
        <v>14</v>
      </c>
      <c r="M25" s="5" cm="1">
        <f ca="1" t="array" ref="M25">SQRT(SUMXMY2($B25:$E25,H$3:H$6))</f>
        <v>10.4719565984586</v>
      </c>
      <c r="N25" s="5" cm="1">
        <f ca="1" t="array" ref="N25">SQRT(SUMXMY2($B25:$E25,I$3:I$6))</f>
        <v>44.6659076453745</v>
      </c>
      <c r="O25" s="5" cm="1">
        <f ca="1" t="array" ref="O25">SQRT(SUMXMY2($B25:$E25,J$3:J$6))</f>
        <v>118.749839765974</v>
      </c>
      <c r="P25" s="5" cm="1">
        <f ca="1" t="array" ref="P25">SQRT(SUMXMY2($B25:$E25,K$3:K$6))</f>
        <v>223.630642047328</v>
      </c>
      <c r="Q25" t="str">
        <f ca="1">INDEX($M$2:$P$2,1,MATCH(MIN(M25:P25),M25:P25,0))</f>
        <v>C1</v>
      </c>
      <c r="R25">
        <v>25</v>
      </c>
      <c r="S25" t="str">
        <f ca="1">INDIRECT($F$1&amp;"!Q"&amp;R25)</f>
        <v>C1</v>
      </c>
      <c r="T25">
        <f ca="1" t="shared" si="1"/>
        <v>0</v>
      </c>
    </row>
    <row r="26" spans="1:20">
      <c r="A26" t="s">
        <v>35</v>
      </c>
      <c r="B26">
        <v>13</v>
      </c>
      <c r="C26">
        <v>209</v>
      </c>
      <c r="D26">
        <v>44</v>
      </c>
      <c r="E26">
        <v>13</v>
      </c>
      <c r="M26" s="5" cm="1">
        <f ca="1" t="array" ref="M26">SQRT(SUMXMY2($B26:$E26,H$3:H$6))</f>
        <v>205.292016101455</v>
      </c>
      <c r="N26" s="5" cm="1">
        <f ca="1" t="array" ref="N26">SQRT(SUMXMY2($B26:$E26,I$3:I$6))</f>
        <v>162.496902449816</v>
      </c>
      <c r="O26" s="5" cm="1">
        <f ca="1" t="array" ref="O26">SQRT(SUMXMY2($B26:$E26,J$3:J$6))</f>
        <v>90.9915258569598</v>
      </c>
      <c r="P26" s="5" cm="1">
        <f ca="1" t="array" ref="P26">SQRT(SUMXMY2($B26:$E26,K$3:K$6))</f>
        <v>29.2560089981528</v>
      </c>
      <c r="Q26" t="str">
        <f ca="1">INDEX($M$2:$P$2,1,MATCH(MIN(M26:P26),M26:P26,0))</f>
        <v>C4</v>
      </c>
      <c r="R26">
        <v>26</v>
      </c>
      <c r="S26" t="str">
        <f ca="1">INDIRECT($F$1&amp;"!Q"&amp;R26)</f>
        <v>C4</v>
      </c>
      <c r="T26">
        <f ca="1" t="shared" si="1"/>
        <v>0</v>
      </c>
    </row>
    <row r="27" spans="1:20">
      <c r="A27" t="s">
        <v>36</v>
      </c>
      <c r="B27">
        <v>8</v>
      </c>
      <c r="C27">
        <v>80</v>
      </c>
      <c r="D27">
        <v>61</v>
      </c>
      <c r="E27">
        <v>28</v>
      </c>
      <c r="M27" s="5" cm="1">
        <f ca="1" t="array" ref="M27">SQRT(SUMXMY2($B27:$E27,H$3:H$6))</f>
        <v>78.4694964620011</v>
      </c>
      <c r="N27" s="5" cm="1">
        <f ca="1" t="array" ref="N27">SQRT(SUMXMY2($B27:$E27,I$3:I$6))</f>
        <v>36.2311723691032</v>
      </c>
      <c r="O27" s="5" cm="1">
        <f ca="1" t="array" ref="O27">SQRT(SUMXMY2($B27:$E27,J$3:J$6))</f>
        <v>42.5988001917634</v>
      </c>
      <c r="P27" s="5" cm="1">
        <f ca="1" t="array" ref="P27">SQRT(SUMXMY2($B27:$E27,K$3:K$6))</f>
        <v>146.086152877335</v>
      </c>
      <c r="Q27" t="str">
        <f ca="1">INDEX($M$2:$P$2,1,MATCH(MIN(M27:P27),M27:P27,0))</f>
        <v>C2</v>
      </c>
      <c r="R27">
        <v>27</v>
      </c>
      <c r="S27" t="str">
        <f ca="1">INDIRECT($F$1&amp;"!Q"&amp;R27)</f>
        <v>C3</v>
      </c>
      <c r="T27">
        <f ca="1" t="shared" si="1"/>
        <v>1</v>
      </c>
    </row>
    <row r="28" spans="1:20">
      <c r="A28" t="s">
        <v>37</v>
      </c>
      <c r="B28">
        <v>5</v>
      </c>
      <c r="C28">
        <v>19</v>
      </c>
      <c r="D28">
        <v>45</v>
      </c>
      <c r="E28">
        <v>15</v>
      </c>
      <c r="M28" s="5" cm="1">
        <f ca="1" t="array" ref="M28">SQRT(SUMXMY2($B28:$E28,H$3:H$6))</f>
        <v>17.2209719528254</v>
      </c>
      <c r="N28" s="5" cm="1">
        <f ca="1" t="array" ref="N28">SQRT(SUMXMY2($B28:$E28,I$3:I$6))</f>
        <v>30.9484562159207</v>
      </c>
      <c r="O28" s="5" cm="1">
        <f ca="1" t="array" ref="O28">SQRT(SUMXMY2($B28:$E28,J$3:J$6))</f>
        <v>104.775590880913</v>
      </c>
      <c r="P28" s="5" cm="1">
        <f ca="1" t="array" ref="P28">SQRT(SUMXMY2($B28:$E28,K$3:K$6))</f>
        <v>208.238238713499</v>
      </c>
      <c r="Q28" t="str">
        <f ca="1">INDEX($M$2:$P$2,1,MATCH(MIN(M28:P28),M28:P28,0))</f>
        <v>C1</v>
      </c>
      <c r="R28">
        <v>28</v>
      </c>
      <c r="S28" t="str">
        <f ca="1">INDIRECT($F$1&amp;"!Q"&amp;R28)</f>
        <v>C1</v>
      </c>
      <c r="T28">
        <f ca="1" t="shared" si="1"/>
        <v>0</v>
      </c>
    </row>
    <row r="29" spans="1:20">
      <c r="A29" t="s">
        <v>38</v>
      </c>
      <c r="B29">
        <v>4</v>
      </c>
      <c r="C29">
        <v>10</v>
      </c>
      <c r="D29">
        <v>56</v>
      </c>
      <c r="E29">
        <v>13</v>
      </c>
      <c r="M29" s="5" cm="1">
        <f ca="1" t="array" ref="M29">SQRT(SUMXMY2($B29:$E29,H$3:H$6))</f>
        <v>7.58036113915426</v>
      </c>
      <c r="N29" s="5" cm="1">
        <f ca="1" t="array" ref="N29">SQRT(SUMXMY2($B29:$E29,I$3:I$6))</f>
        <v>37.4108350416346</v>
      </c>
      <c r="O29" s="5" cm="1">
        <f ca="1" t="array" ref="O29">SQRT(SUMXMY2($B29:$E29,J$3:J$6))</f>
        <v>112.112998552552</v>
      </c>
      <c r="P29" s="5" cm="1">
        <f ca="1" t="array" ref="P29">SQRT(SUMXMY2($B29:$E29,K$3:K$6))</f>
        <v>216.715052690163</v>
      </c>
      <c r="Q29" t="str">
        <f ca="1">INDEX($M$2:$P$2,1,MATCH(MIN(M29:P29),M29:P29,0))</f>
        <v>C1</v>
      </c>
      <c r="R29">
        <v>29</v>
      </c>
      <c r="S29" t="str">
        <f ca="1">INDIRECT($F$1&amp;"!Q"&amp;R29)</f>
        <v>C1</v>
      </c>
      <c r="T29">
        <f ca="1" t="shared" si="1"/>
        <v>0</v>
      </c>
    </row>
    <row r="30" spans="1:20">
      <c r="A30" t="s">
        <v>39</v>
      </c>
      <c r="B30">
        <v>11</v>
      </c>
      <c r="C30">
        <v>239</v>
      </c>
      <c r="D30">
        <v>75</v>
      </c>
      <c r="E30">
        <v>43</v>
      </c>
      <c r="M30" s="5" cm="1">
        <f ca="1" t="array" ref="M30">SQRT(SUMXMY2($B30:$E30,H$3:H$6))</f>
        <v>238.283574496859</v>
      </c>
      <c r="N30" s="5" cm="1">
        <f ca="1" t="array" ref="N30">SQRT(SUMXMY2($B30:$E30,I$3:I$6))</f>
        <v>194.863466505429</v>
      </c>
      <c r="O30" s="5" cm="1">
        <f ca="1" t="array" ref="O30">SQRT(SUMXMY2($B30:$E30,J$3:J$6))</f>
        <v>120.305407655313</v>
      </c>
      <c r="P30" s="5" cm="1">
        <f ca="1" t="array" ref="P30">SQRT(SUMXMY2($B30:$E30,K$3:K$6))</f>
        <v>23.8099572133173</v>
      </c>
      <c r="Q30" t="str">
        <f ca="1">INDEX($M$2:$P$2,1,MATCH(MIN(M30:P30),M30:P30,0))</f>
        <v>C4</v>
      </c>
      <c r="R30">
        <v>30</v>
      </c>
      <c r="S30" t="str">
        <f ca="1">INDIRECT($F$1&amp;"!Q"&amp;R30)</f>
        <v>C4</v>
      </c>
      <c r="T30">
        <f ca="1" t="shared" si="1"/>
        <v>0</v>
      </c>
    </row>
    <row r="31" spans="1:20">
      <c r="A31" t="s">
        <v>40</v>
      </c>
      <c r="B31">
        <v>0</v>
      </c>
      <c r="C31">
        <v>0.1</v>
      </c>
      <c r="D31">
        <v>53</v>
      </c>
      <c r="E31">
        <v>6</v>
      </c>
      <c r="M31" s="5" cm="1">
        <f ca="1" t="array" ref="M31">SQRT(SUMXMY2($B31:$E31,H$3:H$6))</f>
        <v>6.71839824660611</v>
      </c>
      <c r="N31" s="5" cm="1">
        <f ca="1" t="array" ref="N31">SQRT(SUMXMY2($B31:$E31,I$3:I$6))</f>
        <v>48.1388015521371</v>
      </c>
      <c r="O31" s="5" cm="1">
        <f ca="1" t="array" ref="O31">SQRT(SUMXMY2($B31:$E31,J$3:J$6))</f>
        <v>123.011115125603</v>
      </c>
      <c r="P31" s="5" cm="1">
        <f ca="1" t="array" ref="P31">SQRT(SUMXMY2($B31:$E31,K$3:K$6))</f>
        <v>227.380653448133</v>
      </c>
      <c r="Q31" t="str">
        <f ca="1">INDEX($M$2:$P$2,1,MATCH(MIN(M31:P31),M31:P31,0))</f>
        <v>C1</v>
      </c>
      <c r="R31">
        <v>31</v>
      </c>
      <c r="S31" t="str">
        <f ca="1">INDIRECT($F$1&amp;"!Q"&amp;R31)</f>
        <v>C1</v>
      </c>
      <c r="T31">
        <f ca="1" t="shared" si="1"/>
        <v>0</v>
      </c>
    </row>
    <row r="32" spans="1:20">
      <c r="A32" t="s">
        <v>41</v>
      </c>
      <c r="B32">
        <v>5</v>
      </c>
      <c r="C32">
        <v>155</v>
      </c>
      <c r="D32">
        <v>87</v>
      </c>
      <c r="E32">
        <v>19</v>
      </c>
      <c r="M32" s="5" cm="1">
        <f ca="1" t="array" ref="M32">SQRT(SUMXMY2($B32:$E32,H$3:H$6))</f>
        <v>155.046644191353</v>
      </c>
      <c r="N32" s="5" cm="1">
        <f ca="1" t="array" ref="N32">SQRT(SUMXMY2($B32:$E32,I$3:I$6))</f>
        <v>111.863503010522</v>
      </c>
      <c r="O32" s="5" cm="1">
        <f ca="1" t="array" ref="O32">SQRT(SUMXMY2($B32:$E32,J$3:J$6))</f>
        <v>39.321636678947</v>
      </c>
      <c r="P32" s="5" cm="1">
        <f ca="1" t="array" ref="P32">SQRT(SUMXMY2($B32:$E32,K$3:K$6))</f>
        <v>75.6912416498765</v>
      </c>
      <c r="Q32" t="str">
        <f ca="1">INDEX($M$2:$P$2,1,MATCH(MIN(M32:P32),M32:P32,0))</f>
        <v>C3</v>
      </c>
      <c r="R32">
        <v>32</v>
      </c>
      <c r="S32" t="str">
        <f ca="1">INDIRECT($F$1&amp;"!Q"&amp;R32)</f>
        <v>C3</v>
      </c>
      <c r="T32">
        <f ca="1" t="shared" si="1"/>
        <v>0</v>
      </c>
    </row>
    <row r="33" spans="1:20">
      <c r="A33" t="s">
        <v>42</v>
      </c>
      <c r="B33">
        <v>12</v>
      </c>
      <c r="C33">
        <v>229</v>
      </c>
      <c r="D33">
        <v>64</v>
      </c>
      <c r="E33">
        <v>32</v>
      </c>
      <c r="M33" s="5" cm="1">
        <f ca="1" t="array" ref="M33">SQRT(SUMXMY2($B33:$E33,H$3:H$6))</f>
        <v>226.348319797166</v>
      </c>
      <c r="N33" s="5" cm="1">
        <f ca="1" t="array" ref="N33">SQRT(SUMXMY2($B33:$E33,I$3:I$6))</f>
        <v>182.922754776097</v>
      </c>
      <c r="O33" s="5" cm="1">
        <f ca="1" t="array" ref="O33">SQRT(SUMXMY2($B33:$E33,J$3:J$6))</f>
        <v>108.510480804595</v>
      </c>
      <c r="P33" s="5" cm="1">
        <f ca="1" t="array" ref="P33">SQRT(SUMXMY2($B33:$E33,K$3:K$6))</f>
        <v>6.12691296657623</v>
      </c>
      <c r="Q33" t="str">
        <f ca="1">INDEX($M$2:$P$2,1,MATCH(MIN(M33:P33),M33:P33,0))</f>
        <v>C4</v>
      </c>
      <c r="R33">
        <v>33</v>
      </c>
      <c r="S33" t="str">
        <f ca="1">INDIRECT($F$1&amp;"!Q"&amp;R33)</f>
        <v>C4</v>
      </c>
      <c r="T33">
        <f ca="1" t="shared" si="1"/>
        <v>0</v>
      </c>
    </row>
    <row r="34" spans="1:20">
      <c r="A34" t="s">
        <v>43</v>
      </c>
      <c r="B34">
        <v>9</v>
      </c>
      <c r="C34">
        <v>161</v>
      </c>
      <c r="D34">
        <v>85</v>
      </c>
      <c r="E34">
        <v>23</v>
      </c>
      <c r="M34" s="5" cm="1">
        <f ca="1" t="array" ref="M34">SQRT(SUMXMY2($B34:$E34,H$3:H$6))</f>
        <v>160.844216168938</v>
      </c>
      <c r="N34" s="5" cm="1">
        <f ca="1" t="array" ref="N34">SQRT(SUMXMY2($B34:$E34,I$3:I$6))</f>
        <v>117.551642950367</v>
      </c>
      <c r="O34" s="5" cm="1">
        <f ca="1" t="array" ref="O34">SQRT(SUMXMY2($B34:$E34,J$3:J$6))</f>
        <v>43.7727972350155</v>
      </c>
      <c r="P34" s="5" cm="1">
        <f ca="1" t="array" ref="P34">SQRT(SUMXMY2($B34:$E34,K$3:K$6))</f>
        <v>68.8978523794465</v>
      </c>
      <c r="Q34" t="str">
        <f ca="1">INDEX($M$2:$P$2,1,MATCH(MIN(M34:P34),M34:P34,0))</f>
        <v>C3</v>
      </c>
      <c r="R34">
        <v>34</v>
      </c>
      <c r="S34" t="str">
        <f ca="1">INDIRECT($F$1&amp;"!Q"&amp;R34)</f>
        <v>C3</v>
      </c>
      <c r="T34">
        <f ca="1" t="shared" si="1"/>
        <v>0</v>
      </c>
    </row>
    <row r="35" spans="1:20">
      <c r="A35" t="s">
        <v>44</v>
      </c>
      <c r="B35">
        <v>13</v>
      </c>
      <c r="C35">
        <v>321</v>
      </c>
      <c r="D35">
        <v>45</v>
      </c>
      <c r="E35">
        <v>13</v>
      </c>
      <c r="M35" s="5" cm="1">
        <f ca="1" t="array" ref="M35">SQRT(SUMXMY2($B35:$E35,H$3:H$6))</f>
        <v>317.103077681375</v>
      </c>
      <c r="N35" s="5" cm="1">
        <f ca="1" t="array" ref="N35">SQRT(SUMXMY2($B35:$E35,I$3:I$6))</f>
        <v>274.099629591411</v>
      </c>
      <c r="O35" s="5" cm="1">
        <f ca="1" t="array" ref="O35">SQRT(SUMXMY2($B35:$E35,J$3:J$6))</f>
        <v>201.037453669155</v>
      </c>
      <c r="P35" s="5" cm="1">
        <f ca="1" t="array" ref="P35">SQRT(SUMXMY2($B35:$E35,K$3:K$6))</f>
        <v>97.6801620724495</v>
      </c>
      <c r="Q35" t="str">
        <f ca="1">INDEX($M$2:$P$2,1,MATCH(MIN(M35:P35),M35:P35,0))</f>
        <v>C4</v>
      </c>
      <c r="R35">
        <v>35</v>
      </c>
      <c r="S35" t="str">
        <f ca="1">INDIRECT($F$1&amp;"!Q"&amp;R35)</f>
        <v>C4</v>
      </c>
      <c r="T35">
        <f ca="1" t="shared" si="1"/>
        <v>0</v>
      </c>
    </row>
    <row r="36" spans="1:20">
      <c r="A36" t="s">
        <v>45</v>
      </c>
      <c r="B36">
        <v>0.1</v>
      </c>
      <c r="C36">
        <v>27</v>
      </c>
      <c r="D36">
        <v>44</v>
      </c>
      <c r="E36">
        <v>6</v>
      </c>
      <c r="M36" s="5" cm="1">
        <f ca="1" t="array" ref="M36">SQRT(SUMXMY2($B36:$E36,H$3:H$6))</f>
        <v>24.7865260776899</v>
      </c>
      <c r="N36" s="5" cm="1">
        <f ca="1" t="array" ref="N36">SQRT(SUMXMY2($B36:$E36,I$3:I$6))</f>
        <v>25.5398910149956</v>
      </c>
      <c r="O36" s="5" cm="1">
        <f ca="1" t="array" ref="O36">SQRT(SUMXMY2($B36:$E36,J$3:J$6))</f>
        <v>98.2958177023711</v>
      </c>
      <c r="P36" s="5" cm="1">
        <f ca="1" t="array" ref="P36">SQRT(SUMXMY2($B36:$E36,K$3:K$6))</f>
        <v>201.304089780859</v>
      </c>
      <c r="Q36" t="str">
        <f ca="1">INDEX($M$2:$P$2,1,MATCH(MIN(M36:P36),M36:P36,0))</f>
        <v>C1</v>
      </c>
      <c r="R36">
        <v>36</v>
      </c>
      <c r="S36" t="str">
        <f ca="1">INDIRECT($F$1&amp;"!Q"&amp;R36)</f>
        <v>C2</v>
      </c>
      <c r="T36">
        <f ca="1" t="shared" si="1"/>
        <v>1</v>
      </c>
    </row>
    <row r="37" spans="1:20">
      <c r="A37" t="s">
        <v>46</v>
      </c>
      <c r="B37">
        <v>8</v>
      </c>
      <c r="C37">
        <v>119</v>
      </c>
      <c r="D37">
        <v>73</v>
      </c>
      <c r="E37">
        <v>18</v>
      </c>
      <c r="M37" s="5" cm="1">
        <f ca="1" t="array" ref="M37">SQRT(SUMXMY2($B37:$E37,H$3:H$6))</f>
        <v>117.078229722694</v>
      </c>
      <c r="N37" s="5" cm="1">
        <f ca="1" t="array" ref="N37">SQRT(SUMXMY2($B37:$E37,I$3:I$6))</f>
        <v>73.700053264836</v>
      </c>
      <c r="O37" s="5" cm="1">
        <f ca="1" t="array" ref="O37">SQRT(SUMXMY2($B37:$E37,J$3:J$6))</f>
        <v>6.74718048109316</v>
      </c>
      <c r="P37" s="5" cm="1">
        <f ca="1" t="array" ref="P37">SQRT(SUMXMY2($B37:$E37,K$3:K$6))</f>
        <v>107.964295313312</v>
      </c>
      <c r="Q37" t="str">
        <f ca="1">INDEX($M$2:$P$2,1,MATCH(MIN(M37:P37),M37:P37,0))</f>
        <v>C3</v>
      </c>
      <c r="R37">
        <v>37</v>
      </c>
      <c r="S37" t="str">
        <f ca="1">INDIRECT($F$1&amp;"!Q"&amp;R37)</f>
        <v>C3</v>
      </c>
      <c r="T37">
        <f ca="1" t="shared" si="1"/>
        <v>0</v>
      </c>
    </row>
    <row r="38" spans="1:20">
      <c r="A38" t="s">
        <v>47</v>
      </c>
      <c r="B38">
        <v>4</v>
      </c>
      <c r="C38">
        <v>116</v>
      </c>
      <c r="D38">
        <v>59</v>
      </c>
      <c r="E38">
        <v>20</v>
      </c>
      <c r="M38" s="5" cm="1">
        <f ca="1" t="array" ref="M38">SQRT(SUMXMY2($B38:$E38,H$3:H$6))</f>
        <v>112.424916611043</v>
      </c>
      <c r="N38" s="5" cm="1">
        <f ca="1" t="array" ref="N38">SQRT(SUMXMY2($B38:$E38,I$3:I$6))</f>
        <v>68.961963405157</v>
      </c>
      <c r="O38" s="5" cm="1">
        <f ca="1" t="array" ref="O38">SQRT(SUMXMY2($B38:$E38,J$3:J$6))</f>
        <v>10.1976032042393</v>
      </c>
      <c r="P38" s="5" cm="1">
        <f ca="1" t="array" ref="P38">SQRT(SUMXMY2($B38:$E38,K$3:K$6))</f>
        <v>110.517709270958</v>
      </c>
      <c r="Q38" t="str">
        <f ca="1">INDEX($M$2:$P$2,1,MATCH(MIN(M38:P38),M38:P38,0))</f>
        <v>C3</v>
      </c>
      <c r="R38">
        <v>38</v>
      </c>
      <c r="S38" t="str">
        <f ca="1">INDIRECT($F$1&amp;"!Q"&amp;R38)</f>
        <v>C3</v>
      </c>
      <c r="T38">
        <f ca="1" t="shared" si="1"/>
        <v>0</v>
      </c>
    </row>
    <row r="39" spans="1:20">
      <c r="A39" t="s">
        <v>48</v>
      </c>
      <c r="B39">
        <v>4</v>
      </c>
      <c r="C39">
        <v>103</v>
      </c>
      <c r="D39">
        <v>58</v>
      </c>
      <c r="E39">
        <v>29</v>
      </c>
      <c r="M39" s="5" cm="1">
        <f ca="1" t="array" ref="M39">SQRT(SUMXMY2($B39:$E39,H$3:H$6))</f>
        <v>100.664849252358</v>
      </c>
      <c r="N39" s="5" cm="1">
        <f ca="1" t="array" ref="N39">SQRT(SUMXMY2($B39:$E39,I$3:I$6))</f>
        <v>57.7173964350409</v>
      </c>
      <c r="O39" s="5" cm="1">
        <f ca="1" t="array" ref="O39">SQRT(SUMXMY2($B39:$E39,J$3:J$6))</f>
        <v>22.7550238653162</v>
      </c>
      <c r="P39" s="5" cm="1">
        <f ca="1" t="array" ref="P39">SQRT(SUMXMY2($B39:$E39,K$3:K$6))</f>
        <v>123.303645779433</v>
      </c>
      <c r="Q39" t="str">
        <f ca="1">INDEX($M$2:$P$2,1,MATCH(MIN(M39:P39),M39:P39,0))</f>
        <v>C3</v>
      </c>
      <c r="R39">
        <v>39</v>
      </c>
      <c r="S39" t="str">
        <f ca="1">INDIRECT($F$1&amp;"!Q"&amp;R39)</f>
        <v>C3</v>
      </c>
      <c r="T39">
        <f ca="1" t="shared" si="1"/>
        <v>0</v>
      </c>
    </row>
    <row r="40" spans="1:20">
      <c r="A40" t="s">
        <v>49</v>
      </c>
      <c r="B40">
        <v>4</v>
      </c>
      <c r="C40">
        <v>57</v>
      </c>
      <c r="D40">
        <v>67</v>
      </c>
      <c r="E40">
        <v>13</v>
      </c>
      <c r="M40" s="5" cm="1">
        <f ca="1" t="array" ref="M40">SQRT(SUMXMY2($B40:$E40,H$3:H$6))</f>
        <v>54.9569092562528</v>
      </c>
      <c r="N40" s="5" cm="1">
        <f ca="1" t="array" ref="N40">SQRT(SUMXMY2($B40:$E40,I$3:I$6))</f>
        <v>13.9064287410743</v>
      </c>
      <c r="O40" s="5" cm="1">
        <f ca="1" t="array" ref="O40">SQRT(SUMXMY2($B40:$E40,J$3:J$6))</f>
        <v>64.7682363851637</v>
      </c>
      <c r="P40" s="5" cm="1">
        <f ca="1" t="array" ref="P40">SQRT(SUMXMY2($B40:$E40,K$3:K$6))</f>
        <v>169.814719805145</v>
      </c>
      <c r="Q40" t="str">
        <f ca="1">INDEX($M$2:$P$2,1,MATCH(MIN(M40:P40),M40:P40,0))</f>
        <v>C2</v>
      </c>
      <c r="R40">
        <v>40</v>
      </c>
      <c r="S40" t="str">
        <f ca="1">INDIRECT($F$1&amp;"!Q"&amp;R40)</f>
        <v>C2</v>
      </c>
      <c r="T40">
        <f ca="1" t="shared" si="1"/>
        <v>0</v>
      </c>
    </row>
    <row r="41" spans="1:20">
      <c r="A41" t="s">
        <v>50</v>
      </c>
      <c r="B41">
        <v>2</v>
      </c>
      <c r="C41">
        <v>97</v>
      </c>
      <c r="D41">
        <v>83</v>
      </c>
      <c r="E41">
        <v>5</v>
      </c>
      <c r="M41" s="5" cm="1">
        <f ca="1" t="array" ref="M41">SQRT(SUMXMY2($B41:$E41,H$3:H$6))</f>
        <v>98.001336087831</v>
      </c>
      <c r="N41" s="5" cm="1">
        <f ca="1" t="array" ref="N41">SQRT(SUMXMY2($B41:$E41,I$3:I$6))</f>
        <v>56.6713623074752</v>
      </c>
      <c r="O41" s="5" cm="1">
        <f ca="1" t="array" ref="O41">SQRT(SUMXMY2($B41:$E41,J$3:J$6))</f>
        <v>33.1017287228997</v>
      </c>
      <c r="P41" s="5" cm="1">
        <f ca="1" t="array" ref="P41">SQRT(SUMXMY2($B41:$E41,K$3:K$6))</f>
        <v>132.752736553715</v>
      </c>
      <c r="Q41" t="str">
        <f ca="1">INDEX($M$2:$P$2,1,MATCH(MIN(M41:P41),M41:P41,0))</f>
        <v>C3</v>
      </c>
      <c r="R41">
        <v>41</v>
      </c>
      <c r="S41" t="str">
        <f ca="1">INDIRECT($F$1&amp;"!Q"&amp;R41)</f>
        <v>C3</v>
      </c>
      <c r="T41">
        <f ca="1" t="shared" si="1"/>
        <v>0</v>
      </c>
    </row>
    <row r="42" spans="1:20">
      <c r="A42" t="s">
        <v>51</v>
      </c>
      <c r="B42">
        <v>13</v>
      </c>
      <c r="C42">
        <v>210</v>
      </c>
      <c r="D42">
        <v>46</v>
      </c>
      <c r="E42">
        <v>21</v>
      </c>
      <c r="M42" s="5" cm="1">
        <f ca="1" t="array" ref="M42">SQRT(SUMXMY2($B42:$E42,H$3:H$6))</f>
        <v>206.458135889579</v>
      </c>
      <c r="N42" s="5" cm="1">
        <f ca="1" t="array" ref="N42">SQRT(SUMXMY2($B42:$E42,I$3:I$6))</f>
        <v>163.503871614888</v>
      </c>
      <c r="O42" s="5" cm="1">
        <f ca="1" t="array" ref="O42">SQRT(SUMXMY2($B42:$E42,J$3:J$6))</f>
        <v>91.2567318673593</v>
      </c>
      <c r="P42" s="5" cm="1">
        <f ca="1" t="array" ref="P42">SQRT(SUMXMY2($B42:$E42,K$3:K$6))</f>
        <v>24.244361457873</v>
      </c>
      <c r="Q42" t="str">
        <f ca="1">INDEX($M$2:$P$2,1,MATCH(MIN(M42:P42),M42:P42,0))</f>
        <v>C4</v>
      </c>
      <c r="R42">
        <v>42</v>
      </c>
      <c r="S42" t="str">
        <f ca="1">INDIRECT($F$1&amp;"!Q"&amp;R42)</f>
        <v>C4</v>
      </c>
      <c r="T42">
        <f ca="1" t="shared" si="1"/>
        <v>0</v>
      </c>
    </row>
    <row r="43" spans="1:20">
      <c r="A43" t="s">
        <v>52</v>
      </c>
      <c r="B43">
        <v>3</v>
      </c>
      <c r="C43">
        <v>1</v>
      </c>
      <c r="D43">
        <v>43</v>
      </c>
      <c r="E43">
        <v>12</v>
      </c>
      <c r="M43" s="5" cm="1">
        <f ca="1" t="array" ref="M43">SQRT(SUMXMY2($B43:$E43,H$3:H$6))</f>
        <v>9.7781324904094</v>
      </c>
      <c r="N43" s="5" cm="1">
        <f ca="1" t="array" ref="N43">SQRT(SUMXMY2($B43:$E43,I$3:I$6))</f>
        <v>48.4896205984861</v>
      </c>
      <c r="O43" s="5" cm="1">
        <f ca="1" t="array" ref="O43">SQRT(SUMXMY2($B43:$E43,J$3:J$6))</f>
        <v>122.996982799489</v>
      </c>
      <c r="P43" s="5" cm="1">
        <f ca="1" t="array" ref="P43">SQRT(SUMXMY2($B43:$E43,K$3:K$6))</f>
        <v>226.543956137656</v>
      </c>
      <c r="Q43" t="str">
        <f ca="1">INDEX($M$2:$P$2,1,MATCH(MIN(M43:P43),M43:P43,0))</f>
        <v>C1</v>
      </c>
      <c r="R43">
        <v>43</v>
      </c>
      <c r="S43" t="str">
        <f ca="1">INDIRECT($F$1&amp;"!Q"&amp;R43)</f>
        <v>C1</v>
      </c>
      <c r="T43">
        <f ca="1" t="shared" si="1"/>
        <v>0</v>
      </c>
    </row>
    <row r="44" spans="1:20">
      <c r="A44" t="s">
        <v>53</v>
      </c>
      <c r="B44">
        <v>14</v>
      </c>
      <c r="C44">
        <v>96</v>
      </c>
      <c r="D44">
        <v>58</v>
      </c>
      <c r="E44">
        <v>27</v>
      </c>
      <c r="M44" s="5" cm="1">
        <f ca="1" t="array" ref="M44">SQRT(SUMXMY2($B44:$E44,H$3:H$6))</f>
        <v>94.182598578506</v>
      </c>
      <c r="N44" s="5" cm="1">
        <f ca="1" t="array" ref="N44">SQRT(SUMXMY2($B44:$E44,I$3:I$6))</f>
        <v>51.6837202816202</v>
      </c>
      <c r="O44" s="5" cm="1">
        <f ca="1" t="array" ref="O44">SQRT(SUMXMY2($B44:$E44,J$3:J$6))</f>
        <v>28.5702253714908</v>
      </c>
      <c r="P44" s="5" cm="1">
        <f ca="1" t="array" ref="P44">SQRT(SUMXMY2($B44:$E44,K$3:K$6))</f>
        <v>130.216796391633</v>
      </c>
      <c r="Q44" t="str">
        <f ca="1">INDEX($M$2:$P$2,1,MATCH(MIN(M44:P44),M44:P44,0))</f>
        <v>C3</v>
      </c>
      <c r="R44">
        <v>44</v>
      </c>
      <c r="S44" t="str">
        <f ca="1">INDIRECT($F$1&amp;"!Q"&amp;R44)</f>
        <v>C3</v>
      </c>
      <c r="T44">
        <f ca="1" t="shared" si="1"/>
        <v>0</v>
      </c>
    </row>
    <row r="45" spans="1:20">
      <c r="A45" t="s">
        <v>54</v>
      </c>
      <c r="B45">
        <v>13</v>
      </c>
      <c r="C45">
        <v>137</v>
      </c>
      <c r="D45">
        <v>79</v>
      </c>
      <c r="E45">
        <v>25</v>
      </c>
      <c r="M45" s="5" cm="1">
        <f ca="1" t="array" ref="M45">SQRT(SUMXMY2($B45:$E45,H$3:H$6))</f>
        <v>136.694044767868</v>
      </c>
      <c r="N45" s="5" cm="1">
        <f ca="1" t="array" ref="N45">SQRT(SUMXMY2($B45:$E45,I$3:I$6))</f>
        <v>93.5349600969102</v>
      </c>
      <c r="O45" s="5" cm="1">
        <f ca="1" t="array" ref="O45">SQRT(SUMXMY2($B45:$E45,J$3:J$6))</f>
        <v>21.2365512998488</v>
      </c>
      <c r="P45" s="5" cm="1">
        <f ca="1" t="array" ref="P45">SQRT(SUMXMY2($B45:$E45,K$3:K$6))</f>
        <v>90.616853082084</v>
      </c>
      <c r="Q45" t="str">
        <f ca="1">INDEX($M$2:$P$2,1,MATCH(MIN(M45:P45),M45:P45,0))</f>
        <v>C3</v>
      </c>
      <c r="R45">
        <v>45</v>
      </c>
      <c r="S45" t="str">
        <f ca="1">INDIRECT($F$1&amp;"!Q"&amp;R45)</f>
        <v>C3</v>
      </c>
      <c r="T45">
        <f ca="1" t="shared" si="1"/>
        <v>0</v>
      </c>
    </row>
    <row r="46" spans="1:20">
      <c r="A46" t="s">
        <v>55</v>
      </c>
      <c r="B46">
        <v>0</v>
      </c>
      <c r="C46">
        <v>49</v>
      </c>
      <c r="D46">
        <v>74</v>
      </c>
      <c r="E46">
        <v>21</v>
      </c>
      <c r="M46" s="5" cm="1">
        <f ca="1" t="array" ref="M46">SQRT(SUMXMY2($B46:$E46,H$3:H$6))</f>
        <v>50.9343879417433</v>
      </c>
      <c r="N46" s="5" cm="1">
        <f ca="1" t="array" ref="N46">SQRT(SUMXMY2($B46:$E46,I$3:I$6))</f>
        <v>18.6690710769452</v>
      </c>
      <c r="O46" s="5" cm="1">
        <f ca="1" t="array" ref="O46">SQRT(SUMXMY2($B46:$E46,J$3:J$6))</f>
        <v>73.102150751154</v>
      </c>
      <c r="P46" s="5" cm="1">
        <f ca="1" t="array" ref="P46">SQRT(SUMXMY2($B46:$E46,K$3:K$6))</f>
        <v>177.800559792426</v>
      </c>
      <c r="Q46" t="str">
        <f ca="1">INDEX($M$2:$P$2,1,MATCH(MIN(M46:P46),M46:P46,0))</f>
        <v>C2</v>
      </c>
      <c r="R46">
        <v>46</v>
      </c>
      <c r="S46" t="str">
        <f ca="1">INDIRECT($F$1&amp;"!Q"&amp;R46)</f>
        <v>C2</v>
      </c>
      <c r="T46">
        <f ca="1" t="shared" si="1"/>
        <v>0</v>
      </c>
    </row>
    <row r="47" spans="1:20">
      <c r="A47" t="s">
        <v>56</v>
      </c>
      <c r="B47">
        <v>0.1</v>
      </c>
      <c r="C47">
        <v>44</v>
      </c>
      <c r="D47">
        <v>24</v>
      </c>
      <c r="E47">
        <v>8</v>
      </c>
      <c r="M47" s="5" cm="1">
        <f ca="1" t="array" ref="M47">SQRT(SUMXMY2($B47:$E47,H$3:H$6))</f>
        <v>48.876598439335</v>
      </c>
      <c r="N47" s="5" cm="1">
        <f ca="1" t="array" ref="N47">SQRT(SUMXMY2($B47:$E47,I$3:I$6))</f>
        <v>33.8474470148265</v>
      </c>
      <c r="O47" s="5" cm="1">
        <f ca="1" t="array" ref="O47">SQRT(SUMXMY2($B47:$E47,J$3:J$6))</f>
        <v>89.4889254476652</v>
      </c>
      <c r="P47" s="5" cm="1">
        <f ca="1" t="array" ref="P47">SQRT(SUMXMY2($B47:$E47,K$3:K$6))</f>
        <v>187.385195686586</v>
      </c>
      <c r="Q47" t="str">
        <f ca="1">INDEX($M$2:$P$2,1,MATCH(MIN(M47:P47),M47:P47,0))</f>
        <v>C2</v>
      </c>
      <c r="R47">
        <v>47</v>
      </c>
      <c r="S47" t="str">
        <f ca="1">INDIRECT($F$1&amp;"!Q"&amp;R47)</f>
        <v>C2</v>
      </c>
      <c r="T47">
        <f ca="1" t="shared" si="1"/>
        <v>0</v>
      </c>
    </row>
    <row r="48" spans="1:20">
      <c r="A48" t="s">
        <v>57</v>
      </c>
      <c r="B48">
        <v>7</v>
      </c>
      <c r="C48">
        <v>100</v>
      </c>
      <c r="D48">
        <v>58</v>
      </c>
      <c r="E48">
        <v>16</v>
      </c>
      <c r="M48" s="5" cm="1">
        <f ca="1" t="array" ref="M48">SQRT(SUMXMY2($B48:$E48,H$3:H$6))</f>
        <v>96.2715527817018</v>
      </c>
      <c r="N48" s="5" cm="1">
        <f ca="1" t="array" ref="N48">SQRT(SUMXMY2($B48:$E48,I$3:I$6))</f>
        <v>52.872123918028</v>
      </c>
      <c r="O48" s="5" cm="1">
        <f ca="1" t="array" ref="O48">SQRT(SUMXMY2($B48:$E48,J$3:J$6))</f>
        <v>23.380713799578</v>
      </c>
      <c r="P48" s="5" cm="1">
        <f ca="1" t="array" ref="P48">SQRT(SUMXMY2($B48:$E48,K$3:K$6))</f>
        <v>126.683815313954</v>
      </c>
      <c r="Q48" t="str">
        <f ca="1">INDEX($M$2:$P$2,1,MATCH(MIN(M48:P48),M48:P48,0))</f>
        <v>C3</v>
      </c>
      <c r="R48">
        <v>48</v>
      </c>
      <c r="S48" t="str">
        <f ca="1">INDIRECT($F$1&amp;"!Q"&amp;R48)</f>
        <v>C3</v>
      </c>
      <c r="T48">
        <f ca="1" t="shared" si="1"/>
        <v>0</v>
      </c>
    </row>
    <row r="49" spans="1:20">
      <c r="A49" t="s">
        <v>58</v>
      </c>
      <c r="B49">
        <v>1</v>
      </c>
      <c r="C49">
        <v>62</v>
      </c>
      <c r="D49">
        <v>73</v>
      </c>
      <c r="E49">
        <v>24</v>
      </c>
      <c r="M49" s="5" cm="1">
        <f ca="1" t="array" ref="M49">SQRT(SUMXMY2($B49:$E49,H$3:H$6))</f>
        <v>62.8709939081609</v>
      </c>
      <c r="N49" s="5" cm="1">
        <f ca="1" t="array" ref="N49">SQRT(SUMXMY2($B49:$E49,I$3:I$6))</f>
        <v>23.9914309771339</v>
      </c>
      <c r="O49" s="5" cm="1">
        <f ca="1" t="array" ref="O49">SQRT(SUMXMY2($B49:$E49,J$3:J$6))</f>
        <v>60.1868571847524</v>
      </c>
      <c r="P49" s="5" cm="1">
        <f ca="1" t="array" ref="P49">SQRT(SUMXMY2($B49:$E49,K$3:K$6))</f>
        <v>164.650505806997</v>
      </c>
      <c r="Q49" t="str">
        <f ca="1">INDEX($M$2:$P$2,1,MATCH(MIN(M49:P49),M49:P49,0))</f>
        <v>C2</v>
      </c>
      <c r="R49">
        <v>49</v>
      </c>
      <c r="S49" t="str">
        <f ca="1">INDIRECT($F$1&amp;"!Q"&amp;R49)</f>
        <v>C2</v>
      </c>
      <c r="T49">
        <f ca="1" t="shared" si="1"/>
        <v>0</v>
      </c>
    </row>
    <row r="50" spans="1:20">
      <c r="A50" t="s">
        <v>59</v>
      </c>
      <c r="B50">
        <v>5</v>
      </c>
      <c r="C50">
        <v>65</v>
      </c>
      <c r="D50">
        <v>34</v>
      </c>
      <c r="E50">
        <v>9</v>
      </c>
      <c r="M50" s="5" cm="1">
        <f ca="1" t="array" ref="M50">SQRT(SUMXMY2($B50:$E50,H$3:H$6))</f>
        <v>63.5665940176127</v>
      </c>
      <c r="N50" s="5" cm="1">
        <f ca="1" t="array" ref="N50">SQRT(SUMXMY2($B50:$E50,I$3:I$6))</f>
        <v>29.5309950631787</v>
      </c>
      <c r="O50" s="5" cm="1">
        <f ca="1" t="array" ref="O50">SQRT(SUMXMY2($B50:$E50,J$3:J$6))</f>
        <v>66.1190172676851</v>
      </c>
      <c r="P50" s="5" cm="1">
        <f ca="1" t="array" ref="P50">SQRT(SUMXMY2($B50:$E50,K$3:K$6))</f>
        <v>164.69339410705</v>
      </c>
      <c r="Q50" t="str">
        <f ca="1">INDEX($M$2:$P$2,1,MATCH(MIN(M50:P50),M50:P50,0))</f>
        <v>C2</v>
      </c>
      <c r="R50">
        <v>50</v>
      </c>
      <c r="S50" t="str">
        <f ca="1">INDIRECT($F$1&amp;"!Q"&amp;R50)</f>
        <v>C2</v>
      </c>
      <c r="T50">
        <f ca="1" t="shared" si="1"/>
        <v>0</v>
      </c>
    </row>
    <row r="51" spans="1:20">
      <c r="A51" t="s">
        <v>60</v>
      </c>
      <c r="B51">
        <v>0</v>
      </c>
      <c r="C51">
        <v>0.1</v>
      </c>
      <c r="D51">
        <v>60</v>
      </c>
      <c r="E51">
        <v>11</v>
      </c>
      <c r="M51" s="5" cm="1">
        <f ca="1" t="array" ref="M51">SQRT(SUMXMY2($B51:$E51,H$3:H$6))</f>
        <v>9.09048266045318</v>
      </c>
      <c r="N51" s="5" cm="1">
        <f ca="1" t="array" ref="N51">SQRT(SUMXMY2($B51:$E51,I$3:I$6))</f>
        <v>47.5057760733427</v>
      </c>
      <c r="O51" s="5" cm="1">
        <f ca="1" t="array" ref="O51">SQRT(SUMXMY2($B51:$E51,J$3:J$6))</f>
        <v>121.968306447937</v>
      </c>
      <c r="P51" s="5" cm="1">
        <f ca="1" t="array" ref="P51">SQRT(SUMXMY2($B51:$E51,K$3:K$6))</f>
        <v>226.775134356701</v>
      </c>
      <c r="Q51" t="str">
        <f ca="1">INDEX($M$2:$P$2,1,MATCH(MIN(M51:P51),M51:P51,0))</f>
        <v>C1</v>
      </c>
      <c r="R51">
        <v>51</v>
      </c>
      <c r="S51" t="str">
        <f ca="1">INDIRECT($F$1&amp;"!Q"&amp;R51)</f>
        <v>C1</v>
      </c>
      <c r="T51">
        <f ca="1" t="shared" si="1"/>
        <v>0</v>
      </c>
    </row>
    <row r="52" spans="1:20">
      <c r="A52" t="s">
        <v>61</v>
      </c>
      <c r="B52">
        <v>6</v>
      </c>
      <c r="C52">
        <v>143</v>
      </c>
      <c r="D52">
        <v>51</v>
      </c>
      <c r="E52">
        <v>11</v>
      </c>
      <c r="M52" s="5" cm="1">
        <f ca="1" t="array" ref="M52">SQRT(SUMXMY2($B52:$E52,H$3:H$6))</f>
        <v>138.887227184504</v>
      </c>
      <c r="N52" s="5" cm="1">
        <f ca="1" t="array" ref="N52">SQRT(SUMXMY2($B52:$E52,I$3:I$6))</f>
        <v>95.9272813426145</v>
      </c>
      <c r="O52" s="5" cm="1">
        <f ca="1" t="array" ref="O52">SQRT(SUMXMY2($B52:$E52,J$3:J$6))</f>
        <v>28.2274885725087</v>
      </c>
      <c r="P52" s="5" cm="1">
        <f ca="1" t="array" ref="P52">SQRT(SUMXMY2($B52:$E52,K$3:K$6))</f>
        <v>85.5338474669531</v>
      </c>
      <c r="Q52" t="str">
        <f ca="1">INDEX($M$2:$P$2,1,MATCH(MIN(M52:P52),M52:P52,0))</f>
        <v>C3</v>
      </c>
      <c r="R52">
        <v>52</v>
      </c>
      <c r="S52" t="str">
        <f ca="1">INDIRECT($F$1&amp;"!Q"&amp;R52)</f>
        <v>C3</v>
      </c>
      <c r="T52">
        <f ca="1" t="shared" si="1"/>
        <v>0</v>
      </c>
    </row>
  </sheetData>
  <mergeCells count="3">
    <mergeCell ref="G1:K1"/>
    <mergeCell ref="M1:P1"/>
    <mergeCell ref="G10:H1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workbookViewId="0">
      <selection activeCell="K19" sqref="K19:K20"/>
    </sheetView>
  </sheetViews>
  <sheetFormatPr defaultColWidth="9" defaultRowHeight="15"/>
  <cols>
    <col min="10" max="11" width="12.8571428571429"/>
    <col min="13" max="16" width="14.5714285714286"/>
    <col min="19" max="19" width="10.5714285714286" customWidth="1"/>
    <col min="20" max="20" width="10.4285714285714" customWidth="1"/>
  </cols>
  <sheetData>
    <row r="1" spans="6:18">
      <c r="F1">
        <f ca="1">_xlfn.SHEET(A1)-1</f>
        <v>3</v>
      </c>
      <c r="G1" s="4" t="s">
        <v>0</v>
      </c>
      <c r="H1" s="4"/>
      <c r="I1" s="4"/>
      <c r="J1" s="4"/>
      <c r="K1" s="4"/>
      <c r="M1" s="4" t="s">
        <v>1</v>
      </c>
      <c r="N1" s="4"/>
      <c r="O1" s="4"/>
      <c r="P1" s="4"/>
      <c r="R1">
        <v>1</v>
      </c>
    </row>
    <row r="2" spans="1:20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M2" t="s">
        <v>8</v>
      </c>
      <c r="N2" t="s">
        <v>9</v>
      </c>
      <c r="O2" t="s">
        <v>10</v>
      </c>
      <c r="P2" t="s">
        <v>11</v>
      </c>
      <c r="Q2" t="s">
        <v>7</v>
      </c>
      <c r="R2">
        <v>2</v>
      </c>
      <c r="S2" t="s">
        <v>62</v>
      </c>
      <c r="T2" t="s">
        <v>63</v>
      </c>
    </row>
    <row r="3" spans="1:20">
      <c r="A3" t="s">
        <v>12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3</v>
      </c>
      <c r="H3">
        <f ca="1" t="shared" ref="H3:K3" si="0">IFERROR(AVERAGEIFS(INDIRECT($F$1&amp;"!"&amp;ADDRESS(3,$F3,1)):INDIRECT($F$1&amp;"!"&amp;ADDRESS(52,$F3,1)),INDIRECT($F$1&amp;"!$Q$3"):INDIRECT($F$1&amp;"!$Q$52"),H$2),0)</f>
        <v>1.78888888888889</v>
      </c>
      <c r="I3">
        <f ca="1" t="shared" si="0"/>
        <v>3.34166666666667</v>
      </c>
      <c r="J3">
        <f ca="1" t="shared" si="0"/>
        <v>7.78571428571429</v>
      </c>
      <c r="K3">
        <f ca="1" t="shared" si="0"/>
        <v>10.1333333333333</v>
      </c>
      <c r="M3" s="5" cm="1">
        <f ca="1" t="array" ref="M3">SQRT(SUMXMY2($B3:$E3,H$3:H$6))</f>
        <v>186.873336980089</v>
      </c>
      <c r="N3" s="5" cm="1">
        <f ca="1" t="array" ref="N3">SQRT(SUMXMY2($B3:$E3,I$3:I$6))</f>
        <v>139.067559770622</v>
      </c>
      <c r="O3" s="5" cm="1">
        <f ca="1" t="array" ref="O3">SQRT(SUMXMY2($B3:$E3,J$3:J$6))</f>
        <v>64.9343860354121</v>
      </c>
      <c r="P3" s="5" cm="1">
        <f ca="1" t="array" ref="P3">SQRT(SUMXMY2($B3:$E3,K$3:K$6))</f>
        <v>38.7851632572159</v>
      </c>
      <c r="Q3" t="str">
        <f ca="1">INDEX($M$2:$P$2,1,MATCH(MIN(M3:P3),M3:P3,0))</f>
        <v>C4</v>
      </c>
      <c r="R3">
        <v>3</v>
      </c>
      <c r="S3" t="str">
        <f ca="1">INDIRECT($F$1&amp;"!Q"&amp;R3)</f>
        <v>C4</v>
      </c>
      <c r="T3">
        <f ca="1" t="shared" ref="T3:T52" si="1">IF(Q3=S3,0,1)</f>
        <v>0</v>
      </c>
    </row>
    <row r="4" spans="1:20">
      <c r="A4" t="s">
        <v>13</v>
      </c>
      <c r="B4">
        <v>9</v>
      </c>
      <c r="C4">
        <v>222</v>
      </c>
      <c r="D4">
        <v>39</v>
      </c>
      <c r="E4">
        <v>42</v>
      </c>
      <c r="F4">
        <v>3</v>
      </c>
      <c r="G4" t="s">
        <v>4</v>
      </c>
      <c r="H4">
        <f ca="1" t="shared" ref="H4:K4" si="2">IFERROR(AVERAGEIFS(INDIRECT($F$1&amp;"!"&amp;ADDRESS(3,$F4,1)):INDIRECT($F$1&amp;"!"&amp;ADDRESS(52,$F4,1)),INDIRECT($F$1&amp;"!$Q$3"):INDIRECT($F$1&amp;"!$Q$52"),H$2),0)</f>
        <v>6.71111111111111</v>
      </c>
      <c r="I4">
        <f ca="1" t="shared" si="2"/>
        <v>54.5</v>
      </c>
      <c r="J4">
        <f ca="1" t="shared" si="2"/>
        <v>130.714285714286</v>
      </c>
      <c r="K4">
        <f ca="1" t="shared" si="2"/>
        <v>229.8</v>
      </c>
      <c r="M4" s="5" cm="1">
        <f ca="1" t="array" ref="M4">SQRT(SUMXMY2($B4:$E4,H$3:H$6))</f>
        <v>218.067572775725</v>
      </c>
      <c r="N4" s="5" cm="1">
        <f ca="1" t="array" ref="N4">SQRT(SUMXMY2($B4:$E4,I$3:I$6))</f>
        <v>170.746408982899</v>
      </c>
      <c r="O4" s="5" cm="1">
        <f ca="1" t="array" ref="O4">SQRT(SUMXMY2($B4:$E4,J$3:J$6))</f>
        <v>98.4445612141832</v>
      </c>
      <c r="P4" s="5" cm="1">
        <f ca="1" t="array" ref="P4">SQRT(SUMXMY2($B4:$E4,K$3:K$6))</f>
        <v>28.5672695385626</v>
      </c>
      <c r="Q4" t="str">
        <f ca="1">INDEX($M$2:$P$2,1,MATCH(MIN(M4:P4),M4:P4,0))</f>
        <v>C4</v>
      </c>
      <c r="R4">
        <v>4</v>
      </c>
      <c r="S4" t="str">
        <f ca="1">INDIRECT($F$1&amp;"!Q"&amp;R4)</f>
        <v>C4</v>
      </c>
      <c r="T4">
        <f ca="1" t="shared" si="1"/>
        <v>0</v>
      </c>
    </row>
    <row r="5" spans="1:20">
      <c r="A5" t="s">
        <v>14</v>
      </c>
      <c r="B5">
        <v>6</v>
      </c>
      <c r="C5">
        <v>226</v>
      </c>
      <c r="D5">
        <v>72</v>
      </c>
      <c r="E5">
        <v>30</v>
      </c>
      <c r="F5">
        <v>4</v>
      </c>
      <c r="G5" t="s">
        <v>5</v>
      </c>
      <c r="H5">
        <f ca="1" t="shared" ref="H5:K5" si="3">IFERROR(AVERAGEIFS(INDIRECT($F$1&amp;"!"&amp;ADDRESS(3,$F5,1)):INDIRECT($F$1&amp;"!"&amp;ADDRESS(52,$F5,1)),INDIRECT($F$1&amp;"!$Q$3"):INDIRECT($F$1&amp;"!$Q$52"),H$2),0)</f>
        <v>51.2222222222222</v>
      </c>
      <c r="I5">
        <f ca="1" t="shared" si="3"/>
        <v>58.4166666666667</v>
      </c>
      <c r="J5">
        <f ca="1" t="shared" si="3"/>
        <v>68.8571428571429</v>
      </c>
      <c r="K5">
        <f ca="1" t="shared" si="3"/>
        <v>61.7333333333333</v>
      </c>
      <c r="M5" s="5" cm="1">
        <f ca="1" t="array" ref="M5">SQRT(SUMXMY2($B5:$E5,H$3:H$6))</f>
        <v>221.187350619501</v>
      </c>
      <c r="N5" s="5" cm="1">
        <f ca="1" t="array" ref="N5">SQRT(SUMXMY2($B5:$E5,I$3:I$6))</f>
        <v>172.646709150669</v>
      </c>
      <c r="O5" s="5" cm="1">
        <f ca="1" t="array" ref="O5">SQRT(SUMXMY2($B5:$E5,J$3:J$6))</f>
        <v>95.8334279798409</v>
      </c>
      <c r="P5" s="5" cm="1">
        <f ca="1" t="array" ref="P5">SQRT(SUMXMY2($B5:$E5,K$3:K$6))</f>
        <v>12.1856017040148</v>
      </c>
      <c r="Q5" t="str">
        <f ca="1">INDEX($M$2:$P$2,1,MATCH(MIN(M5:P5),M5:P5,0))</f>
        <v>C4</v>
      </c>
      <c r="R5">
        <v>5</v>
      </c>
      <c r="S5" t="str">
        <f ca="1">INDIRECT($F$1&amp;"!Q"&amp;R5)</f>
        <v>C4</v>
      </c>
      <c r="T5">
        <f ca="1" t="shared" si="1"/>
        <v>0</v>
      </c>
    </row>
    <row r="6" spans="1:20">
      <c r="A6" t="s">
        <v>15</v>
      </c>
      <c r="B6">
        <v>8</v>
      </c>
      <c r="C6">
        <v>177</v>
      </c>
      <c r="D6">
        <v>50</v>
      </c>
      <c r="E6">
        <v>17</v>
      </c>
      <c r="F6">
        <v>5</v>
      </c>
      <c r="G6" t="s">
        <v>6</v>
      </c>
      <c r="H6">
        <f ca="1" t="shared" ref="H6:K6" si="4">IFERROR(AVERAGEIFS(INDIRECT($F$1&amp;"!"&amp;ADDRESS(3,$F6,1)):INDIRECT($F$1&amp;"!"&amp;ADDRESS(52,$F6,1)),INDIRECT($F$1&amp;"!$Q$3"):INDIRECT($F$1&amp;"!$Q$52"),H$2),0)</f>
        <v>10.3333333333333</v>
      </c>
      <c r="I6">
        <f ca="1" t="shared" si="4"/>
        <v>15.75</v>
      </c>
      <c r="J6">
        <f ca="1" t="shared" si="4"/>
        <v>20.4285714285714</v>
      </c>
      <c r="K6">
        <f ca="1" t="shared" si="4"/>
        <v>26.6</v>
      </c>
      <c r="M6" s="5" cm="1">
        <f ca="1" t="array" ref="M6">SQRT(SUMXMY2($B6:$E6,H$3:H$6))</f>
        <v>170.536863615618</v>
      </c>
      <c r="N6" s="5" cm="1">
        <f ca="1" t="array" ref="N6">SQRT(SUMXMY2($B6:$E6,I$3:I$6))</f>
        <v>122.883492981044</v>
      </c>
      <c r="O6" s="5" cm="1">
        <f ca="1" t="array" ref="O6">SQRT(SUMXMY2($B6:$E6,J$3:J$6))</f>
        <v>50.0975069647346</v>
      </c>
      <c r="P6" s="5" cm="1">
        <f ca="1" t="array" ref="P6">SQRT(SUMXMY2($B6:$E6,K$3:K$6))</f>
        <v>54.9747416749021</v>
      </c>
      <c r="Q6" t="str">
        <f ca="1">INDEX($M$2:$P$2,1,MATCH(MIN(M6:P6),M6:P6,0))</f>
        <v>C3</v>
      </c>
      <c r="R6">
        <v>6</v>
      </c>
      <c r="S6" t="str">
        <f ca="1">INDIRECT($F$1&amp;"!Q"&amp;R6)</f>
        <v>C4</v>
      </c>
      <c r="T6">
        <f ca="1" t="shared" si="1"/>
        <v>1</v>
      </c>
    </row>
    <row r="7" spans="1:20">
      <c r="A7" t="s">
        <v>16</v>
      </c>
      <c r="B7">
        <v>7</v>
      </c>
      <c r="C7">
        <v>235</v>
      </c>
      <c r="D7">
        <v>86</v>
      </c>
      <c r="E7">
        <v>39</v>
      </c>
      <c r="M7" s="5" cm="1">
        <f ca="1" t="array" ref="M7">SQRT(SUMXMY2($B7:$E7,H$3:H$6))</f>
        <v>232.753612375993</v>
      </c>
      <c r="N7" s="5" cm="1">
        <f ca="1" t="array" ref="N7">SQRT(SUMXMY2($B7:$E7,I$3:I$6))</f>
        <v>184.106046018472</v>
      </c>
      <c r="O7" s="5" cm="1">
        <f ca="1" t="array" ref="O7">SQRT(SUMXMY2($B7:$E7,J$3:J$6))</f>
        <v>107.30751633145</v>
      </c>
      <c r="P7" s="5" cm="1">
        <f ca="1" t="array" ref="P7">SQRT(SUMXMY2($B7:$E7,K$3:K$6))</f>
        <v>27.9193282313327</v>
      </c>
      <c r="Q7" t="str">
        <f ca="1">INDEX($M$2:$P$2,1,MATCH(MIN(M7:P7),M7:P7,0))</f>
        <v>C4</v>
      </c>
      <c r="R7">
        <v>7</v>
      </c>
      <c r="S7" t="str">
        <f ca="1">INDIRECT($F$1&amp;"!Q"&amp;R7)</f>
        <v>C4</v>
      </c>
      <c r="T7">
        <f ca="1" t="shared" si="1"/>
        <v>0</v>
      </c>
    </row>
    <row r="8" spans="1:20">
      <c r="A8" t="s">
        <v>17</v>
      </c>
      <c r="B8">
        <v>5</v>
      </c>
      <c r="C8">
        <v>170</v>
      </c>
      <c r="D8">
        <v>78</v>
      </c>
      <c r="E8">
        <v>37</v>
      </c>
      <c r="M8" s="5" cm="1">
        <f ca="1" t="array" ref="M8">SQRT(SUMXMY2($B8:$E8,H$3:H$6))</f>
        <v>167.635715057869</v>
      </c>
      <c r="N8" s="5" cm="1">
        <f ca="1" t="array" ref="N8">SQRT(SUMXMY2($B8:$E8,I$3:I$6))</f>
        <v>119.071699046788</v>
      </c>
      <c r="O8" s="5" cm="1">
        <f ca="1" t="array" ref="O8">SQRT(SUMXMY2($B8:$E8,J$3:J$6))</f>
        <v>43.6958994947245</v>
      </c>
      <c r="P8" s="5" cm="1">
        <f ca="1" t="array" ref="P8">SQRT(SUMXMY2($B8:$E8,K$3:K$6))</f>
        <v>63.0488346883236</v>
      </c>
      <c r="Q8" t="str">
        <f ca="1">INDEX($M$2:$P$2,1,MATCH(MIN(M8:P8),M8:P8,0))</f>
        <v>C3</v>
      </c>
      <c r="R8">
        <v>8</v>
      </c>
      <c r="S8" t="str">
        <f ca="1">INDIRECT($F$1&amp;"!Q"&amp;R8)</f>
        <v>C3</v>
      </c>
      <c r="T8">
        <f ca="1" t="shared" si="1"/>
        <v>0</v>
      </c>
    </row>
    <row r="9" spans="1:20">
      <c r="A9" t="s">
        <v>18</v>
      </c>
      <c r="B9">
        <v>0</v>
      </c>
      <c r="C9">
        <v>35</v>
      </c>
      <c r="D9">
        <v>75</v>
      </c>
      <c r="E9">
        <v>7</v>
      </c>
      <c r="M9" s="5" cm="1">
        <f ca="1" t="array" ref="M9">SQRT(SUMXMY2($B9:$E9,H$3:H$6))</f>
        <v>37.1477480499853</v>
      </c>
      <c r="N9" s="5" cm="1">
        <f ca="1" t="array" ref="N9">SQRT(SUMXMY2($B9:$E9,I$3:I$6))</f>
        <v>27.2577728465764</v>
      </c>
      <c r="O9" s="5" cm="1">
        <f ca="1" t="array" ref="O9">SQRT(SUMXMY2($B9:$E9,J$3:J$6))</f>
        <v>97.1591635473695</v>
      </c>
      <c r="P9" s="5" cm="1">
        <f ca="1" t="array" ref="P9">SQRT(SUMXMY2($B9:$E9,K$3:K$6))</f>
        <v>196.493991991839</v>
      </c>
      <c r="Q9" t="str">
        <f ca="1">INDEX($M$2:$P$2,1,MATCH(MIN(M9:P9),M9:P9,0))</f>
        <v>C2</v>
      </c>
      <c r="R9">
        <v>9</v>
      </c>
      <c r="S9" t="str">
        <f ca="1">INDIRECT($F$1&amp;"!Q"&amp;R9)</f>
        <v>C2</v>
      </c>
      <c r="T9">
        <f ca="1" t="shared" si="1"/>
        <v>0</v>
      </c>
    </row>
    <row r="10" spans="1:20">
      <c r="A10" t="s">
        <v>19</v>
      </c>
      <c r="B10">
        <v>4</v>
      </c>
      <c r="C10">
        <v>198</v>
      </c>
      <c r="D10">
        <v>70</v>
      </c>
      <c r="E10">
        <v>15</v>
      </c>
      <c r="G10" s="4" t="s">
        <v>64</v>
      </c>
      <c r="H10" s="4"/>
      <c r="I10">
        <f ca="1">SUM(T3:T52)</f>
        <v>2</v>
      </c>
      <c r="M10" s="5" cm="1">
        <f ca="1" t="array" ref="M10">SQRT(SUMXMY2($B10:$E10,H$3:H$6))</f>
        <v>192.277691739683</v>
      </c>
      <c r="N10" s="5" cm="1">
        <f ca="1" t="array" ref="N10">SQRT(SUMXMY2($B10:$E10,I$3:I$6))</f>
        <v>143.970203562713</v>
      </c>
      <c r="O10" s="5" cm="1">
        <f ca="1" t="array" ref="O10">SQRT(SUMXMY2($B10:$E10,J$3:J$6))</f>
        <v>67.6200746065539</v>
      </c>
      <c r="P10" s="5" cm="1">
        <f ca="1" t="array" ref="P10">SQRT(SUMXMY2($B10:$E10,K$3:K$6))</f>
        <v>35.3801576530625</v>
      </c>
      <c r="Q10" t="str">
        <f ca="1">INDEX($M$2:$P$2,1,MATCH(MIN(M10:P10),M10:P10,0))</f>
        <v>C4</v>
      </c>
      <c r="R10">
        <v>10</v>
      </c>
      <c r="S10" t="str">
        <f ca="1">INDIRECT($F$1&amp;"!Q"&amp;R10)</f>
        <v>C4</v>
      </c>
      <c r="T10">
        <f ca="1" t="shared" si="1"/>
        <v>0</v>
      </c>
    </row>
    <row r="11" spans="1:20">
      <c r="A11" t="s">
        <v>20</v>
      </c>
      <c r="B11">
        <v>13</v>
      </c>
      <c r="C11">
        <v>259</v>
      </c>
      <c r="D11">
        <v>74</v>
      </c>
      <c r="E11">
        <v>30</v>
      </c>
      <c r="M11" s="5" cm="1">
        <f ca="1" t="array" ref="M11">SQRT(SUMXMY2($B11:$E11,H$3:H$6))</f>
        <v>254.324551326464</v>
      </c>
      <c r="N11" s="5" cm="1">
        <f ca="1" t="array" ref="N11">SQRT(SUMXMY2($B11:$E11,I$3:I$6))</f>
        <v>205.814081589564</v>
      </c>
      <c r="O11" s="5" cm="1">
        <f ca="1" t="array" ref="O11">SQRT(SUMXMY2($B11:$E11,J$3:J$6))</f>
        <v>128.850589792193</v>
      </c>
      <c r="P11" s="5" cm="1">
        <f ca="1" t="array" ref="P11">SQRT(SUMXMY2($B11:$E11,K$3:K$6))</f>
        <v>31.9826341768293</v>
      </c>
      <c r="Q11" t="str">
        <f ca="1">INDEX($M$2:$P$2,1,MATCH(MIN(M11:P11),M11:P11,0))</f>
        <v>C4</v>
      </c>
      <c r="R11">
        <v>11</v>
      </c>
      <c r="S11" t="str">
        <f ca="1">INDIRECT($F$1&amp;"!Q"&amp;R11)</f>
        <v>C4</v>
      </c>
      <c r="T11">
        <f ca="1" t="shared" si="1"/>
        <v>0</v>
      </c>
    </row>
    <row r="12" spans="1:20">
      <c r="A12" t="s">
        <v>21</v>
      </c>
      <c r="B12">
        <v>15</v>
      </c>
      <c r="C12">
        <v>136</v>
      </c>
      <c r="D12">
        <v>52</v>
      </c>
      <c r="E12">
        <v>24</v>
      </c>
      <c r="M12" s="5" cm="1">
        <f ca="1" t="array" ref="M12">SQRT(SUMXMY2($B12:$E12,H$3:H$6))</f>
        <v>130.681035207726</v>
      </c>
      <c r="N12" s="5" cm="1">
        <f ca="1" t="array" ref="N12">SQRT(SUMXMY2($B12:$E12,I$3:I$6))</f>
        <v>82.9903780400006</v>
      </c>
      <c r="O12" s="5" cm="1">
        <f ca="1" t="array" ref="O12">SQRT(SUMXMY2($B12:$E12,J$3:J$6))</f>
        <v>19.4139913779854</v>
      </c>
      <c r="P12" s="5" cm="1">
        <f ca="1" t="array" ref="P12">SQRT(SUMXMY2($B12:$E12,K$3:K$6))</f>
        <v>94.4649258837492</v>
      </c>
      <c r="Q12" t="str">
        <f ca="1">INDEX($M$2:$P$2,1,MATCH(MIN(M12:P12),M12:P12,0))</f>
        <v>C3</v>
      </c>
      <c r="R12">
        <v>12</v>
      </c>
      <c r="S12" t="str">
        <f ca="1">INDIRECT($F$1&amp;"!Q"&amp;R12)</f>
        <v>C3</v>
      </c>
      <c r="T12">
        <f ca="1" t="shared" si="1"/>
        <v>0</v>
      </c>
    </row>
    <row r="13" spans="1:20">
      <c r="A13" t="s">
        <v>22</v>
      </c>
      <c r="B13">
        <v>5</v>
      </c>
      <c r="C13">
        <v>32</v>
      </c>
      <c r="D13">
        <v>82</v>
      </c>
      <c r="E13">
        <v>17</v>
      </c>
      <c r="M13" s="5" cm="1">
        <f ca="1" t="array" ref="M13">SQRT(SUMXMY2($B13:$E13,H$3:H$6))</f>
        <v>40.5161101931711</v>
      </c>
      <c r="N13" s="5" cm="1">
        <f ca="1" t="array" ref="N13">SQRT(SUMXMY2($B13:$E13,I$3:I$6))</f>
        <v>32.6609274295075</v>
      </c>
      <c r="O13" s="5" cm="1">
        <f ca="1" t="array" ref="O13">SQRT(SUMXMY2($B13:$E13,J$3:J$6))</f>
        <v>99.6832995244521</v>
      </c>
      <c r="P13" s="5" cm="1">
        <f ca="1" t="array" ref="P13">SQRT(SUMXMY2($B13:$E13,K$3:K$6))</f>
        <v>199.133344492802</v>
      </c>
      <c r="Q13" t="str">
        <f ca="1">INDEX($M$2:$P$2,1,MATCH(MIN(M13:P13),M13:P13,0))</f>
        <v>C2</v>
      </c>
      <c r="R13">
        <v>13</v>
      </c>
      <c r="S13" t="str">
        <f ca="1">INDIRECT($F$1&amp;"!Q"&amp;R13)</f>
        <v>C2</v>
      </c>
      <c r="T13">
        <f ca="1" t="shared" si="1"/>
        <v>0</v>
      </c>
    </row>
    <row r="14" spans="1:20">
      <c r="A14" t="s">
        <v>23</v>
      </c>
      <c r="B14">
        <v>0</v>
      </c>
      <c r="C14">
        <v>54</v>
      </c>
      <c r="D14">
        <v>47</v>
      </c>
      <c r="E14">
        <v>12</v>
      </c>
      <c r="M14" s="5" cm="1">
        <f ca="1" t="array" ref="M14">SQRT(SUMXMY2($B14:$E14,H$3:H$6))</f>
        <v>47.5399208463169</v>
      </c>
      <c r="N14" s="5" cm="1">
        <f ca="1" t="array" ref="N14">SQRT(SUMXMY2($B14:$E14,I$3:I$6))</f>
        <v>12.4827686788184</v>
      </c>
      <c r="O14" s="5" cm="1">
        <f ca="1" t="array" ref="O14">SQRT(SUMXMY2($B14:$E14,J$3:J$6))</f>
        <v>80.5883024377355</v>
      </c>
      <c r="P14" s="5" cm="1">
        <f ca="1" t="array" ref="P14">SQRT(SUMXMY2($B14:$E14,K$3:K$6))</f>
        <v>177.309208885369</v>
      </c>
      <c r="Q14" t="str">
        <f ca="1">INDEX($M$2:$P$2,1,MATCH(MIN(M14:P14),M14:P14,0))</f>
        <v>C2</v>
      </c>
      <c r="R14">
        <v>14</v>
      </c>
      <c r="S14" t="str">
        <f ca="1">INDIRECT($F$1&amp;"!Q"&amp;R14)</f>
        <v>C2</v>
      </c>
      <c r="T14">
        <f ca="1" t="shared" si="1"/>
        <v>0</v>
      </c>
    </row>
    <row r="15" spans="1:20">
      <c r="A15" t="s">
        <v>24</v>
      </c>
      <c r="B15">
        <v>10</v>
      </c>
      <c r="C15">
        <v>218</v>
      </c>
      <c r="D15">
        <v>79</v>
      </c>
      <c r="E15">
        <v>20</v>
      </c>
      <c r="M15" s="5" cm="1">
        <f ca="1" t="array" ref="M15">SQRT(SUMXMY2($B15:$E15,H$3:H$6))</f>
        <v>213.484112514951</v>
      </c>
      <c r="N15" s="5" cm="1">
        <f ca="1" t="array" ref="N15">SQRT(SUMXMY2($B15:$E15,I$3:I$6))</f>
        <v>164.979754860676</v>
      </c>
      <c r="O15" s="5" cm="1">
        <f ca="1" t="array" ref="O15">SQRT(SUMXMY2($B15:$E15,J$3:J$6))</f>
        <v>87.9019920370502</v>
      </c>
      <c r="P15" s="5" cm="1">
        <f ca="1" t="array" ref="P15">SQRT(SUMXMY2($B15:$E15,K$3:K$6))</f>
        <v>21.9306989299374</v>
      </c>
      <c r="Q15" t="str">
        <f ca="1">INDEX($M$2:$P$2,1,MATCH(MIN(M15:P15),M15:P15,0))</f>
        <v>C4</v>
      </c>
      <c r="R15">
        <v>15</v>
      </c>
      <c r="S15" t="str">
        <f ca="1">INDIRECT($F$1&amp;"!Q"&amp;R15)</f>
        <v>C4</v>
      </c>
      <c r="T15">
        <f ca="1" t="shared" si="1"/>
        <v>0</v>
      </c>
    </row>
    <row r="16" spans="1:20">
      <c r="A16" t="s">
        <v>25</v>
      </c>
      <c r="B16">
        <v>7</v>
      </c>
      <c r="C16">
        <v>26</v>
      </c>
      <c r="D16">
        <v>65</v>
      </c>
      <c r="E16">
        <v>19</v>
      </c>
      <c r="M16" s="5" cm="1">
        <f ca="1" t="array" ref="M16">SQRT(SUMXMY2($B16:$E16,H$3:H$6))</f>
        <v>25.7712084541099</v>
      </c>
      <c r="N16" s="5" cm="1">
        <f ca="1" t="array" ref="N16">SQRT(SUMXMY2($B16:$E16,I$3:I$6))</f>
        <v>29.6569752428591</v>
      </c>
      <c r="O16" s="5" cm="1">
        <f ca="1" t="array" ref="O16">SQRT(SUMXMY2($B16:$E16,J$3:J$6))</f>
        <v>104.797983506071</v>
      </c>
      <c r="P16" s="5" cm="1">
        <f ca="1" t="array" ref="P16">SQRT(SUMXMY2($B16:$E16,K$3:K$6))</f>
        <v>203.99188437016</v>
      </c>
      <c r="Q16" t="str">
        <f ca="1">INDEX($M$2:$P$2,1,MATCH(MIN(M16:P16),M16:P16,0))</f>
        <v>C1</v>
      </c>
      <c r="R16">
        <v>16</v>
      </c>
      <c r="S16" t="str">
        <f ca="1">INDIRECT($F$1&amp;"!Q"&amp;R16)</f>
        <v>C2</v>
      </c>
      <c r="T16">
        <f ca="1" t="shared" si="1"/>
        <v>1</v>
      </c>
    </row>
    <row r="17" spans="1:20">
      <c r="A17" t="s">
        <v>26</v>
      </c>
      <c r="B17">
        <v>2</v>
      </c>
      <c r="C17">
        <v>0.1</v>
      </c>
      <c r="D17">
        <v>53</v>
      </c>
      <c r="E17">
        <v>9</v>
      </c>
      <c r="M17" s="5" cm="1">
        <f ca="1" t="array" ref="M17">SQRT(SUMXMY2($B17:$E17,H$3:H$6))</f>
        <v>6.97779547060744</v>
      </c>
      <c r="N17" s="5" cm="1">
        <f ca="1" t="array" ref="N17">SQRT(SUMXMY2($B17:$E17,I$3:I$6))</f>
        <v>55.1004795552836</v>
      </c>
      <c r="O17" s="5" cm="1">
        <f ca="1" t="array" ref="O17">SQRT(SUMXMY2($B17:$E17,J$3:J$6))</f>
        <v>132.195413486773</v>
      </c>
      <c r="P17" s="5" cm="1">
        <f ca="1" t="array" ref="P17">SQRT(SUMXMY2($B17:$E17,K$3:K$6))</f>
        <v>230.682188784098</v>
      </c>
      <c r="Q17" t="str">
        <f ca="1">INDEX($M$2:$P$2,1,MATCH(MIN(M17:P17),M17:P17,0))</f>
        <v>C1</v>
      </c>
      <c r="R17">
        <v>17</v>
      </c>
      <c r="S17" t="str">
        <f ca="1">INDIRECT($F$1&amp;"!Q"&amp;R17)</f>
        <v>C1</v>
      </c>
      <c r="T17">
        <f ca="1" t="shared" si="1"/>
        <v>0</v>
      </c>
    </row>
    <row r="18" spans="1:20">
      <c r="A18" t="s">
        <v>27</v>
      </c>
      <c r="B18">
        <v>3</v>
      </c>
      <c r="C18">
        <v>80</v>
      </c>
      <c r="D18">
        <v>56</v>
      </c>
      <c r="E18">
        <v>16</v>
      </c>
      <c r="M18" s="5" cm="1">
        <f ca="1" t="array" ref="M18">SQRT(SUMXMY2($B18:$E18,H$3:H$6))</f>
        <v>73.6726970885164</v>
      </c>
      <c r="N18" s="5" cm="1">
        <f ca="1" t="array" ref="N18">SQRT(SUMXMY2($B18:$E18,I$3:I$6))</f>
        <v>25.6177577841795</v>
      </c>
      <c r="O18" s="5" cm="1">
        <f ca="1" t="array" ref="O18">SQRT(SUMXMY2($B18:$E18,J$3:J$6))</f>
        <v>52.7234312624058</v>
      </c>
      <c r="P18" s="5" cm="1">
        <f ca="1" t="array" ref="P18">SQRT(SUMXMY2($B18:$E18,K$3:K$6))</f>
        <v>150.453167316463</v>
      </c>
      <c r="Q18" t="str">
        <f ca="1">INDEX($M$2:$P$2,1,MATCH(MIN(M18:P18),M18:P18,0))</f>
        <v>C2</v>
      </c>
      <c r="R18">
        <v>18</v>
      </c>
      <c r="S18" t="str">
        <f ca="1">INDIRECT($F$1&amp;"!Q"&amp;R18)</f>
        <v>C2</v>
      </c>
      <c r="T18">
        <f ca="1" t="shared" si="1"/>
        <v>0</v>
      </c>
    </row>
    <row r="19" spans="1:20">
      <c r="A19" t="s">
        <v>28</v>
      </c>
      <c r="B19">
        <v>7</v>
      </c>
      <c r="C19">
        <v>70</v>
      </c>
      <c r="D19">
        <v>43</v>
      </c>
      <c r="E19">
        <v>15</v>
      </c>
      <c r="M19" s="5" cm="1">
        <f ca="1" t="array" ref="M19">SQRT(SUMXMY2($B19:$E19,H$3:H$6))</f>
        <v>64.2029738552028</v>
      </c>
      <c r="N19" s="5" cm="1">
        <f ca="1" t="array" ref="N19">SQRT(SUMXMY2($B19:$E19,I$3:I$6))</f>
        <v>22.1781314336643</v>
      </c>
      <c r="O19" s="5" cm="1">
        <f ca="1" t="array" ref="O19">SQRT(SUMXMY2($B19:$E19,J$3:J$6))</f>
        <v>66.2186005683032</v>
      </c>
      <c r="P19" s="5" cm="1">
        <f ca="1" t="array" ref="P19">SQRT(SUMXMY2($B19:$E19,K$3:K$6))</f>
        <v>161.342355119651</v>
      </c>
      <c r="Q19" t="str">
        <f ca="1">INDEX($M$2:$P$2,1,MATCH(MIN(M19:P19),M19:P19,0))</f>
        <v>C2</v>
      </c>
      <c r="R19">
        <v>19</v>
      </c>
      <c r="S19" t="str">
        <f ca="1">INDIRECT($F$1&amp;"!Q"&amp;R19)</f>
        <v>C2</v>
      </c>
      <c r="T19">
        <f ca="1" t="shared" si="1"/>
        <v>0</v>
      </c>
    </row>
    <row r="20" spans="1:20">
      <c r="A20" t="s">
        <v>29</v>
      </c>
      <c r="B20">
        <v>15</v>
      </c>
      <c r="C20">
        <v>159</v>
      </c>
      <c r="D20">
        <v>61</v>
      </c>
      <c r="E20">
        <v>19</v>
      </c>
      <c r="M20" s="5" cm="1">
        <f ca="1" t="array" ref="M20">SQRT(SUMXMY2($B20:$E20,H$3:H$6))</f>
        <v>153.418236155892</v>
      </c>
      <c r="N20" s="5" cm="1">
        <f ca="1" t="array" ref="N20">SQRT(SUMXMY2($B20:$E20,I$3:I$6))</f>
        <v>105.230237323795</v>
      </c>
      <c r="O20" s="5" cm="1">
        <f ca="1" t="array" ref="O20">SQRT(SUMXMY2($B20:$E20,J$3:J$6))</f>
        <v>30.2638903848215</v>
      </c>
      <c r="P20" s="5" cm="1">
        <f ca="1" t="array" ref="P20">SQRT(SUMXMY2($B20:$E20,K$3:K$6))</f>
        <v>71.376622378915</v>
      </c>
      <c r="Q20" t="str">
        <f ca="1">INDEX($M$2:$P$2,1,MATCH(MIN(M20:P20),M20:P20,0))</f>
        <v>C3</v>
      </c>
      <c r="R20">
        <v>20</v>
      </c>
      <c r="S20" t="str">
        <f ca="1">INDIRECT($F$1&amp;"!Q"&amp;R20)</f>
        <v>C3</v>
      </c>
      <c r="T20">
        <f ca="1" t="shared" si="1"/>
        <v>0</v>
      </c>
    </row>
    <row r="21" spans="1:20">
      <c r="A21" t="s">
        <v>30</v>
      </c>
      <c r="B21">
        <v>1</v>
      </c>
      <c r="C21">
        <v>0.1</v>
      </c>
      <c r="D21">
        <v>45</v>
      </c>
      <c r="E21">
        <v>7</v>
      </c>
      <c r="M21" s="5" cm="1">
        <f ca="1" t="array" ref="M21">SQRT(SUMXMY2($B21:$E21,H$3:H$6))</f>
        <v>9.7034167331047</v>
      </c>
      <c r="N21" s="5" cm="1">
        <f ca="1" t="array" ref="N21">SQRT(SUMXMY2($B21:$E21,I$3:I$6))</f>
        <v>56.757491551532</v>
      </c>
      <c r="O21" s="5" cm="1">
        <f ca="1" t="array" ref="O21">SQRT(SUMXMY2($B21:$E21,J$3:J$6))</f>
        <v>133.624950315945</v>
      </c>
      <c r="P21" s="5" cm="1">
        <f ca="1" t="array" ref="P21">SQRT(SUMXMY2($B21:$E21,K$3:K$6))</f>
        <v>231.321577511097</v>
      </c>
      <c r="Q21" t="str">
        <f ca="1">INDEX($M$2:$P$2,1,MATCH(MIN(M21:P21),M21:P21,0))</f>
        <v>C1</v>
      </c>
      <c r="R21">
        <v>21</v>
      </c>
      <c r="S21" t="str">
        <f ca="1">INDIRECT($F$1&amp;"!Q"&amp;R21)</f>
        <v>C1</v>
      </c>
      <c r="T21">
        <f ca="1" t="shared" si="1"/>
        <v>0</v>
      </c>
    </row>
    <row r="22" spans="1:20">
      <c r="A22" t="s">
        <v>31</v>
      </c>
      <c r="B22">
        <v>10</v>
      </c>
      <c r="C22">
        <v>260</v>
      </c>
      <c r="D22">
        <v>63</v>
      </c>
      <c r="E22">
        <v>28</v>
      </c>
      <c r="M22" s="5" cm="1">
        <f ca="1" t="array" ref="M22">SQRT(SUMXMY2($B22:$E22,H$3:H$6))</f>
        <v>254.309871496843</v>
      </c>
      <c r="N22" s="5" cm="1">
        <f ca="1" t="array" ref="N22">SQRT(SUMXMY2($B22:$E22,I$3:I$6))</f>
        <v>206.023427908629</v>
      </c>
      <c r="O22" s="5" cm="1">
        <f ca="1" t="array" ref="O22">SQRT(SUMXMY2($B22:$E22,J$3:J$6))</f>
        <v>129.658519321536</v>
      </c>
      <c r="P22" s="5" cm="1">
        <f ca="1" t="array" ref="P22">SQRT(SUMXMY2($B22:$E22,K$3:K$6))</f>
        <v>30.2592501926638</v>
      </c>
      <c r="Q22" t="str">
        <f ca="1">INDEX($M$2:$P$2,1,MATCH(MIN(M22:P22),M22:P22,0))</f>
        <v>C4</v>
      </c>
      <c r="R22">
        <v>22</v>
      </c>
      <c r="S22" t="str">
        <f ca="1">INDIRECT($F$1&amp;"!Q"&amp;R22)</f>
        <v>C4</v>
      </c>
      <c r="T22">
        <f ca="1" t="shared" si="1"/>
        <v>0</v>
      </c>
    </row>
    <row r="23" spans="1:20">
      <c r="A23" t="s">
        <v>32</v>
      </c>
      <c r="B23">
        <v>2</v>
      </c>
      <c r="C23">
        <v>138</v>
      </c>
      <c r="D23">
        <v>82</v>
      </c>
      <c r="E23">
        <v>13</v>
      </c>
      <c r="M23" s="5" cm="1">
        <f ca="1" t="array" ref="M23">SQRT(SUMXMY2($B23:$E23,H$3:H$6))</f>
        <v>134.874755345949</v>
      </c>
      <c r="N23" s="5" cm="1">
        <f ca="1" t="array" ref="N23">SQRT(SUMXMY2($B23:$E23,I$3:I$6))</f>
        <v>86.820424904256</v>
      </c>
      <c r="O23" s="5" cm="1">
        <f ca="1" t="array" ref="O23">SQRT(SUMXMY2($B23:$E23,J$3:J$6))</f>
        <v>17.7334285967468</v>
      </c>
      <c r="P23" s="5" cm="1">
        <f ca="1" t="array" ref="P23">SQRT(SUMXMY2($B23:$E23,K$3:K$6))</f>
        <v>95.3367132267989</v>
      </c>
      <c r="Q23" t="str">
        <f ca="1">INDEX($M$2:$P$2,1,MATCH(MIN(M23:P23),M23:P23,0))</f>
        <v>C3</v>
      </c>
      <c r="R23">
        <v>23</v>
      </c>
      <c r="S23" t="str">
        <f ca="1">INDIRECT($F$1&amp;"!Q"&amp;R23)</f>
        <v>C3</v>
      </c>
      <c r="T23">
        <f ca="1" t="shared" si="1"/>
        <v>0</v>
      </c>
    </row>
    <row r="24" spans="1:20">
      <c r="A24" t="s">
        <v>33</v>
      </c>
      <c r="B24">
        <v>11</v>
      </c>
      <c r="C24">
        <v>251</v>
      </c>
      <c r="D24">
        <v>68</v>
      </c>
      <c r="E24">
        <v>35</v>
      </c>
      <c r="M24" s="5" cm="1">
        <f ca="1" t="array" ref="M24">SQRT(SUMXMY2($B24:$E24,H$3:H$6))</f>
        <v>246.275951067241</v>
      </c>
      <c r="N24" s="5" cm="1">
        <f ca="1" t="array" ref="N24">SQRT(SUMXMY2($B24:$E24,I$3:I$6))</f>
        <v>197.821391278148</v>
      </c>
      <c r="O24" s="5" cm="1">
        <f ca="1" t="array" ref="O24">SQRT(SUMXMY2($B24:$E24,J$3:J$6))</f>
        <v>121.21075001157</v>
      </c>
      <c r="P24" s="5" cm="1">
        <f ca="1" t="array" ref="P24">SQRT(SUMXMY2($B24:$E24,K$3:K$6))</f>
        <v>23.664788657882</v>
      </c>
      <c r="Q24" t="str">
        <f ca="1">INDEX($M$2:$P$2,1,MATCH(MIN(M24:P24),M24:P24,0))</f>
        <v>C4</v>
      </c>
      <c r="R24">
        <v>24</v>
      </c>
      <c r="S24" t="str">
        <f ca="1">INDIRECT($F$1&amp;"!Q"&amp;R24)</f>
        <v>C4</v>
      </c>
      <c r="T24">
        <f ca="1" t="shared" si="1"/>
        <v>0</v>
      </c>
    </row>
    <row r="25" spans="1:20">
      <c r="A25" t="s">
        <v>34</v>
      </c>
      <c r="B25">
        <v>1</v>
      </c>
      <c r="C25">
        <v>3</v>
      </c>
      <c r="D25">
        <v>62</v>
      </c>
      <c r="E25">
        <v>14</v>
      </c>
      <c r="M25" s="5" cm="1">
        <f ca="1" t="array" ref="M25">SQRT(SUMXMY2($B25:$E25,H$3:H$6))</f>
        <v>11.9999845678913</v>
      </c>
      <c r="N25" s="5" cm="1">
        <f ca="1" t="array" ref="N25">SQRT(SUMXMY2($B25:$E25,I$3:I$6))</f>
        <v>51.707215942802</v>
      </c>
      <c r="O25" s="5" cm="1">
        <f ca="1" t="array" ref="O25">SQRT(SUMXMY2($B25:$E25,J$3:J$6))</f>
        <v>128.239352901725</v>
      </c>
      <c r="P25" s="5" cm="1">
        <f ca="1" t="array" ref="P25">SQRT(SUMXMY2($B25:$E25,K$3:K$6))</f>
        <v>227.333431085023</v>
      </c>
      <c r="Q25" t="str">
        <f ca="1">INDEX($M$2:$P$2,1,MATCH(MIN(M25:P25),M25:P25,0))</f>
        <v>C1</v>
      </c>
      <c r="R25">
        <v>25</v>
      </c>
      <c r="S25" t="str">
        <f ca="1">INDIRECT($F$1&amp;"!Q"&amp;R25)</f>
        <v>C1</v>
      </c>
      <c r="T25">
        <f ca="1" t="shared" si="1"/>
        <v>0</v>
      </c>
    </row>
    <row r="26" spans="1:20">
      <c r="A26" t="s">
        <v>35</v>
      </c>
      <c r="B26">
        <v>13</v>
      </c>
      <c r="C26">
        <v>209</v>
      </c>
      <c r="D26">
        <v>44</v>
      </c>
      <c r="E26">
        <v>13</v>
      </c>
      <c r="M26" s="5" cm="1">
        <f ca="1" t="array" ref="M26">SQRT(SUMXMY2($B26:$E26,H$3:H$6))</f>
        <v>202.745542947768</v>
      </c>
      <c r="N26" s="5" cm="1">
        <f ca="1" t="array" ref="N26">SQRT(SUMXMY2($B26:$E26,I$3:I$6))</f>
        <v>155.495775442793</v>
      </c>
      <c r="O26" s="5" cm="1">
        <f ca="1" t="array" ref="O26">SQRT(SUMXMY2($B26:$E26,J$3:J$6))</f>
        <v>82.6371772341268</v>
      </c>
      <c r="P26" s="5" cm="1">
        <f ca="1" t="array" ref="P26">SQRT(SUMXMY2($B26:$E26,K$3:K$6))</f>
        <v>30.6641303298967</v>
      </c>
      <c r="Q26" t="str">
        <f ca="1">INDEX($M$2:$P$2,1,MATCH(MIN(M26:P26),M26:P26,0))</f>
        <v>C4</v>
      </c>
      <c r="R26">
        <v>26</v>
      </c>
      <c r="S26" t="str">
        <f ca="1">INDIRECT($F$1&amp;"!Q"&amp;R26)</f>
        <v>C4</v>
      </c>
      <c r="T26">
        <f ca="1" t="shared" si="1"/>
        <v>0</v>
      </c>
    </row>
    <row r="27" spans="1:20">
      <c r="A27" t="s">
        <v>36</v>
      </c>
      <c r="B27">
        <v>8</v>
      </c>
      <c r="C27">
        <v>80</v>
      </c>
      <c r="D27">
        <v>61</v>
      </c>
      <c r="E27">
        <v>28</v>
      </c>
      <c r="M27" s="5" cm="1">
        <f ca="1" t="array" ref="M27">SQRT(SUMXMY2($B27:$E27,H$3:H$6))</f>
        <v>76.2728994150949</v>
      </c>
      <c r="N27" s="5" cm="1">
        <f ca="1" t="array" ref="N27">SQRT(SUMXMY2($B27:$E27,I$3:I$6))</f>
        <v>28.7869098820203</v>
      </c>
      <c r="O27" s="5" cm="1">
        <f ca="1" t="array" ref="O27">SQRT(SUMXMY2($B27:$E27,J$3:J$6))</f>
        <v>51.8752919834419</v>
      </c>
      <c r="P27" s="5" cm="1">
        <f ca="1" t="array" ref="P27">SQRT(SUMXMY2($B27:$E27,K$3:K$6))</f>
        <v>149.823525819175</v>
      </c>
      <c r="Q27" t="str">
        <f ca="1">INDEX($M$2:$P$2,1,MATCH(MIN(M27:P27),M27:P27,0))</f>
        <v>C2</v>
      </c>
      <c r="R27">
        <v>27</v>
      </c>
      <c r="S27" t="str">
        <f ca="1">INDIRECT($F$1&amp;"!Q"&amp;R27)</f>
        <v>C2</v>
      </c>
      <c r="T27">
        <f ca="1" t="shared" si="1"/>
        <v>0</v>
      </c>
    </row>
    <row r="28" spans="1:20">
      <c r="A28" t="s">
        <v>37</v>
      </c>
      <c r="B28">
        <v>5</v>
      </c>
      <c r="C28">
        <v>19</v>
      </c>
      <c r="D28">
        <v>45</v>
      </c>
      <c r="E28">
        <v>15</v>
      </c>
      <c r="M28" s="5" cm="1">
        <f ca="1" t="array" ref="M28">SQRT(SUMXMY2($B28:$E28,H$3:H$6))</f>
        <v>14.8936849655098</v>
      </c>
      <c r="N28" s="5" cm="1">
        <f ca="1" t="array" ref="N28">SQRT(SUMXMY2($B28:$E28,I$3:I$6))</f>
        <v>37.994335286841</v>
      </c>
      <c r="O28" s="5" cm="1">
        <f ca="1" t="array" ref="O28">SQRT(SUMXMY2($B28:$E28,J$3:J$6))</f>
        <v>114.396129697625</v>
      </c>
      <c r="P28" s="5" cm="1">
        <f ca="1" t="array" ref="P28">SQRT(SUMXMY2($B28:$E28,K$3:K$6))</f>
        <v>211.84323344293</v>
      </c>
      <c r="Q28" t="str">
        <f ca="1">INDEX($M$2:$P$2,1,MATCH(MIN(M28:P28),M28:P28,0))</f>
        <v>C1</v>
      </c>
      <c r="R28">
        <v>28</v>
      </c>
      <c r="S28" t="str">
        <f ca="1">INDIRECT($F$1&amp;"!Q"&amp;R28)</f>
        <v>C1</v>
      </c>
      <c r="T28">
        <f ca="1" t="shared" si="1"/>
        <v>0</v>
      </c>
    </row>
    <row r="29" spans="1:20">
      <c r="A29" t="s">
        <v>38</v>
      </c>
      <c r="B29">
        <v>4</v>
      </c>
      <c r="C29">
        <v>10</v>
      </c>
      <c r="D29">
        <v>56</v>
      </c>
      <c r="E29">
        <v>13</v>
      </c>
      <c r="M29" s="5" cm="1">
        <f ca="1" t="array" ref="M29">SQRT(SUMXMY2($B29:$E29,H$3:H$6))</f>
        <v>6.75603982182418</v>
      </c>
      <c r="N29" s="5" cm="1">
        <f ca="1" t="array" ref="N29">SQRT(SUMXMY2($B29:$E29,I$3:I$6))</f>
        <v>44.6551920895606</v>
      </c>
      <c r="O29" s="5" cm="1">
        <f ca="1" t="array" ref="O29">SQRT(SUMXMY2($B29:$E29,J$3:J$6))</f>
        <v>121.683031701555</v>
      </c>
      <c r="P29" s="5" cm="1">
        <f ca="1" t="array" ref="P29">SQRT(SUMXMY2($B29:$E29,K$3:K$6))</f>
        <v>220.380327817364</v>
      </c>
      <c r="Q29" t="str">
        <f ca="1">INDEX($M$2:$P$2,1,MATCH(MIN(M29:P29),M29:P29,0))</f>
        <v>C1</v>
      </c>
      <c r="R29">
        <v>29</v>
      </c>
      <c r="S29" t="str">
        <f ca="1">INDIRECT($F$1&amp;"!Q"&amp;R29)</f>
        <v>C1</v>
      </c>
      <c r="T29">
        <f ca="1" t="shared" si="1"/>
        <v>0</v>
      </c>
    </row>
    <row r="30" spans="1:20">
      <c r="A30" t="s">
        <v>39</v>
      </c>
      <c r="B30">
        <v>11</v>
      </c>
      <c r="C30">
        <v>239</v>
      </c>
      <c r="D30">
        <v>75</v>
      </c>
      <c r="E30">
        <v>43</v>
      </c>
      <c r="M30" s="5" cm="1">
        <f ca="1" t="array" ref="M30">SQRT(SUMXMY2($B30:$E30,H$3:H$6))</f>
        <v>235.956492380049</v>
      </c>
      <c r="N30" s="5" cm="1">
        <f ca="1" t="array" ref="N30">SQRT(SUMXMY2($B30:$E30,I$3:I$6))</f>
        <v>187.39388867807</v>
      </c>
      <c r="O30" s="5" cm="1">
        <f ca="1" t="array" ref="O30">SQRT(SUMXMY2($B30:$E30,J$3:J$6))</f>
        <v>110.830192784516</v>
      </c>
      <c r="P30" s="5" cm="1">
        <f ca="1" t="array" ref="P30">SQRT(SUMXMY2($B30:$E30,K$3:K$6))</f>
        <v>23.0294497449582</v>
      </c>
      <c r="Q30" t="str">
        <f ca="1">INDEX($M$2:$P$2,1,MATCH(MIN(M30:P30),M30:P30,0))</f>
        <v>C4</v>
      </c>
      <c r="R30">
        <v>30</v>
      </c>
      <c r="S30" t="str">
        <f ca="1">INDIRECT($F$1&amp;"!Q"&amp;R30)</f>
        <v>C4</v>
      </c>
      <c r="T30">
        <f ca="1" t="shared" si="1"/>
        <v>0</v>
      </c>
    </row>
    <row r="31" spans="1:20">
      <c r="A31" t="s">
        <v>40</v>
      </c>
      <c r="B31">
        <v>0</v>
      </c>
      <c r="C31">
        <v>0.1</v>
      </c>
      <c r="D31">
        <v>53</v>
      </c>
      <c r="E31">
        <v>6</v>
      </c>
      <c r="M31" s="5" cm="1">
        <f ca="1" t="array" ref="M31">SQRT(SUMXMY2($B31:$E31,H$3:H$6))</f>
        <v>8.29729987316267</v>
      </c>
      <c r="N31" s="5" cm="1">
        <f ca="1" t="array" ref="N31">SQRT(SUMXMY2($B31:$E31,I$3:I$6))</f>
        <v>55.6320906841446</v>
      </c>
      <c r="O31" s="5" cm="1">
        <f ca="1" t="array" ref="O31">SQRT(SUMXMY2($B31:$E31,J$3:J$6))</f>
        <v>132.590880654188</v>
      </c>
      <c r="P31" s="5" cm="1">
        <f ca="1" t="array" ref="P31">SQRT(SUMXMY2($B31:$E31,K$3:K$6))</f>
        <v>231.009535637721</v>
      </c>
      <c r="Q31" t="str">
        <f ca="1">INDEX($M$2:$P$2,1,MATCH(MIN(M31:P31),M31:P31,0))</f>
        <v>C1</v>
      </c>
      <c r="R31">
        <v>31</v>
      </c>
      <c r="S31" t="str">
        <f ca="1">INDIRECT($F$1&amp;"!Q"&amp;R31)</f>
        <v>C1</v>
      </c>
      <c r="T31">
        <f ca="1" t="shared" si="1"/>
        <v>0</v>
      </c>
    </row>
    <row r="32" spans="1:20">
      <c r="A32" t="s">
        <v>41</v>
      </c>
      <c r="B32">
        <v>5</v>
      </c>
      <c r="C32">
        <v>155</v>
      </c>
      <c r="D32">
        <v>87</v>
      </c>
      <c r="E32">
        <v>19</v>
      </c>
      <c r="M32" s="5" cm="1">
        <f ca="1" t="array" ref="M32">SQRT(SUMXMY2($B32:$E32,H$3:H$6))</f>
        <v>152.823644428133</v>
      </c>
      <c r="N32" s="5" cm="1">
        <f ca="1" t="array" ref="N32">SQRT(SUMXMY2($B32:$E32,I$3:I$6))</f>
        <v>104.549364005186</v>
      </c>
      <c r="O32" s="5" cm="1">
        <f ca="1" t="array" ref="O32">SQRT(SUMXMY2($B32:$E32,J$3:J$6))</f>
        <v>30.4755673299388</v>
      </c>
      <c r="P32" s="5" cm="1">
        <f ca="1" t="array" ref="P32">SQRT(SUMXMY2($B32:$E32,K$3:K$6))</f>
        <v>79.4830520020184</v>
      </c>
      <c r="Q32" t="str">
        <f ca="1">INDEX($M$2:$P$2,1,MATCH(MIN(M32:P32),M32:P32,0))</f>
        <v>C3</v>
      </c>
      <c r="R32">
        <v>32</v>
      </c>
      <c r="S32" t="str">
        <f ca="1">INDIRECT($F$1&amp;"!Q"&amp;R32)</f>
        <v>C3</v>
      </c>
      <c r="T32">
        <f ca="1" t="shared" si="1"/>
        <v>0</v>
      </c>
    </row>
    <row r="33" spans="1:20">
      <c r="A33" t="s">
        <v>42</v>
      </c>
      <c r="B33">
        <v>12</v>
      </c>
      <c r="C33">
        <v>229</v>
      </c>
      <c r="D33">
        <v>64</v>
      </c>
      <c r="E33">
        <v>32</v>
      </c>
      <c r="M33" s="5" cm="1">
        <f ca="1" t="array" ref="M33">SQRT(SUMXMY2($B33:$E33,H$3:H$6))</f>
        <v>223.940467452765</v>
      </c>
      <c r="N33" s="5" cm="1">
        <f ca="1" t="array" ref="N33">SQRT(SUMXMY2($B33:$E33,I$3:I$6))</f>
        <v>175.55754853387</v>
      </c>
      <c r="O33" s="5" cm="1">
        <f ca="1" t="array" ref="O33">SQRT(SUMXMY2($B33:$E33,J$3:J$6))</f>
        <v>99.1732405069687</v>
      </c>
      <c r="P33" s="5" cm="1">
        <f ca="1" t="array" ref="P33">SQRT(SUMXMY2($B33:$E33,K$3:K$6))</f>
        <v>6.19856614244151</v>
      </c>
      <c r="Q33" t="str">
        <f ca="1">INDEX($M$2:$P$2,1,MATCH(MIN(M33:P33),M33:P33,0))</f>
        <v>C4</v>
      </c>
      <c r="R33">
        <v>33</v>
      </c>
      <c r="S33" t="str">
        <f ca="1">INDIRECT($F$1&amp;"!Q"&amp;R33)</f>
        <v>C4</v>
      </c>
      <c r="T33">
        <f ca="1" t="shared" si="1"/>
        <v>0</v>
      </c>
    </row>
    <row r="34" spans="1:20">
      <c r="A34" t="s">
        <v>43</v>
      </c>
      <c r="B34">
        <v>9</v>
      </c>
      <c r="C34">
        <v>161</v>
      </c>
      <c r="D34">
        <v>85</v>
      </c>
      <c r="E34">
        <v>23</v>
      </c>
      <c r="M34" s="5" cm="1">
        <f ca="1" t="array" ref="M34">SQRT(SUMXMY2($B34:$E34,H$3:H$6))</f>
        <v>158.61413579525</v>
      </c>
      <c r="N34" s="5" cm="1">
        <f ca="1" t="array" ref="N34">SQRT(SUMXMY2($B34:$E34,I$3:I$6))</f>
        <v>110.15218040158</v>
      </c>
      <c r="O34" s="5" cm="1">
        <f ca="1" t="array" ref="O34">SQRT(SUMXMY2($B34:$E34,J$3:J$6))</f>
        <v>34.436943261917</v>
      </c>
      <c r="P34" s="5" cm="1">
        <f ca="1" t="array" ref="P34">SQRT(SUMXMY2($B34:$E34,K$3:K$6))</f>
        <v>72.7256641236244</v>
      </c>
      <c r="Q34" t="str">
        <f ca="1">INDEX($M$2:$P$2,1,MATCH(MIN(M34:P34),M34:P34,0))</f>
        <v>C3</v>
      </c>
      <c r="R34">
        <v>34</v>
      </c>
      <c r="S34" t="str">
        <f ca="1">INDIRECT($F$1&amp;"!Q"&amp;R34)</f>
        <v>C3</v>
      </c>
      <c r="T34">
        <f ca="1" t="shared" si="1"/>
        <v>0</v>
      </c>
    </row>
    <row r="35" spans="1:20">
      <c r="A35" t="s">
        <v>44</v>
      </c>
      <c r="B35">
        <v>13</v>
      </c>
      <c r="C35">
        <v>321</v>
      </c>
      <c r="D35">
        <v>45</v>
      </c>
      <c r="E35">
        <v>13</v>
      </c>
      <c r="M35" s="5" cm="1">
        <f ca="1" t="array" ref="M35">SQRT(SUMXMY2($B35:$E35,H$3:H$6))</f>
        <v>314.561634424562</v>
      </c>
      <c r="N35" s="5" cm="1">
        <f ca="1" t="array" ref="N35">SQRT(SUMXMY2($B35:$E35,I$3:I$6))</f>
        <v>267.026408520248</v>
      </c>
      <c r="O35" s="5" cm="1">
        <f ca="1" t="array" ref="O35">SQRT(SUMXMY2($B35:$E35,J$3:J$6))</f>
        <v>191.990074679683</v>
      </c>
      <c r="P35" s="5" cm="1">
        <f ca="1" t="array" ref="P35">SQRT(SUMXMY2($B35:$E35,K$3:K$6))</f>
        <v>93.7583181494966</v>
      </c>
      <c r="Q35" t="str">
        <f ca="1">INDEX($M$2:$P$2,1,MATCH(MIN(M35:P35),M35:P35,0))</f>
        <v>C4</v>
      </c>
      <c r="R35">
        <v>35</v>
      </c>
      <c r="S35" t="str">
        <f ca="1">INDIRECT($F$1&amp;"!Q"&amp;R35)</f>
        <v>C4</v>
      </c>
      <c r="T35">
        <f ca="1" t="shared" si="1"/>
        <v>0</v>
      </c>
    </row>
    <row r="36" spans="1:20">
      <c r="A36" t="s">
        <v>45</v>
      </c>
      <c r="B36">
        <v>0.1</v>
      </c>
      <c r="C36">
        <v>27</v>
      </c>
      <c r="D36">
        <v>44</v>
      </c>
      <c r="E36">
        <v>6</v>
      </c>
      <c r="M36" s="5" cm="1">
        <f ca="1" t="array" ref="M36">SQRT(SUMXMY2($B36:$E36,H$3:H$6))</f>
        <v>22.0324676246132</v>
      </c>
      <c r="N36" s="5" cm="1">
        <f ca="1" t="array" ref="N36">SQRT(SUMXMY2($B36:$E36,I$3:I$6))</f>
        <v>32.7056750512133</v>
      </c>
      <c r="O36" s="5" cm="1">
        <f ca="1" t="array" ref="O36">SQRT(SUMXMY2($B36:$E36,J$3:J$6))</f>
        <v>107.897101396636</v>
      </c>
      <c r="P36" s="5" cm="1">
        <f ca="1" t="array" ref="P36">SQRT(SUMXMY2($B36:$E36,K$3:K$6))</f>
        <v>204.859314869715</v>
      </c>
      <c r="Q36" t="str">
        <f ca="1">INDEX($M$2:$P$2,1,MATCH(MIN(M36:P36),M36:P36,0))</f>
        <v>C1</v>
      </c>
      <c r="R36">
        <v>36</v>
      </c>
      <c r="S36" t="str">
        <f ca="1">INDIRECT($F$1&amp;"!Q"&amp;R36)</f>
        <v>C1</v>
      </c>
      <c r="T36">
        <f ca="1" t="shared" si="1"/>
        <v>0</v>
      </c>
    </row>
    <row r="37" spans="1:20">
      <c r="A37" t="s">
        <v>46</v>
      </c>
      <c r="B37">
        <v>8</v>
      </c>
      <c r="C37">
        <v>119</v>
      </c>
      <c r="D37">
        <v>73</v>
      </c>
      <c r="E37">
        <v>18</v>
      </c>
      <c r="M37" s="5" cm="1">
        <f ca="1" t="array" ref="M37">SQRT(SUMXMY2($B37:$E37,H$3:H$6))</f>
        <v>114.806018360763</v>
      </c>
      <c r="N37" s="5" cm="1">
        <f ca="1" t="array" ref="N37">SQRT(SUMXMY2($B37:$E37,I$3:I$6))</f>
        <v>66.3301302618618</v>
      </c>
      <c r="O37" s="5" cm="1">
        <f ca="1" t="array" ref="O37">SQRT(SUMXMY2($B37:$E37,J$3:J$6))</f>
        <v>12.662212786597</v>
      </c>
      <c r="P37" s="5" cm="1">
        <f ca="1" t="array" ref="P37">SQRT(SUMXMY2($B37:$E37,K$3:K$6))</f>
        <v>111.723269236488</v>
      </c>
      <c r="Q37" t="str">
        <f ca="1">INDEX($M$2:$P$2,1,MATCH(MIN(M37:P37),M37:P37,0))</f>
        <v>C3</v>
      </c>
      <c r="R37">
        <v>37</v>
      </c>
      <c r="S37" t="str">
        <f ca="1">INDIRECT($F$1&amp;"!Q"&amp;R37)</f>
        <v>C3</v>
      </c>
      <c r="T37">
        <f ca="1" t="shared" si="1"/>
        <v>0</v>
      </c>
    </row>
    <row r="38" spans="1:20">
      <c r="A38" t="s">
        <v>47</v>
      </c>
      <c r="B38">
        <v>4</v>
      </c>
      <c r="C38">
        <v>116</v>
      </c>
      <c r="D38">
        <v>59</v>
      </c>
      <c r="E38">
        <v>20</v>
      </c>
      <c r="M38" s="5" cm="1">
        <f ca="1" t="array" ref="M38">SQRT(SUMXMY2($B38:$E38,H$3:H$6))</f>
        <v>110.013128846145</v>
      </c>
      <c r="N38" s="5" cm="1">
        <f ca="1" t="array" ref="N38">SQRT(SUMXMY2($B38:$E38,I$3:I$6))</f>
        <v>61.6529494878838</v>
      </c>
      <c r="O38" s="5" cm="1">
        <f ca="1" t="array" ref="O38">SQRT(SUMXMY2($B38:$E38,J$3:J$6))</f>
        <v>18.115981218532</v>
      </c>
      <c r="P38" s="5" cm="1">
        <f ca="1" t="array" ref="P38">SQRT(SUMXMY2($B38:$E38,K$3:K$6))</f>
        <v>114.188829965496</v>
      </c>
      <c r="Q38" t="str">
        <f ca="1">INDEX($M$2:$P$2,1,MATCH(MIN(M38:P38),M38:P38,0))</f>
        <v>C3</v>
      </c>
      <c r="R38">
        <v>38</v>
      </c>
      <c r="S38" t="str">
        <f ca="1">INDIRECT($F$1&amp;"!Q"&amp;R38)</f>
        <v>C3</v>
      </c>
      <c r="T38">
        <f ca="1" t="shared" si="1"/>
        <v>0</v>
      </c>
    </row>
    <row r="39" spans="1:20">
      <c r="A39" t="s">
        <v>48</v>
      </c>
      <c r="B39">
        <v>4</v>
      </c>
      <c r="C39">
        <v>103</v>
      </c>
      <c r="D39">
        <v>58</v>
      </c>
      <c r="E39">
        <v>29</v>
      </c>
      <c r="M39" s="5" cm="1">
        <f ca="1" t="array" ref="M39">SQRT(SUMXMY2($B39:$E39,H$3:H$6))</f>
        <v>98.3403368504087</v>
      </c>
      <c r="N39" s="5" cm="1">
        <f ca="1" t="array" ref="N39">SQRT(SUMXMY2($B39:$E39,I$3:I$6))</f>
        <v>50.2833920284709</v>
      </c>
      <c r="O39" s="5" cm="1">
        <f ca="1" t="array" ref="O39">SQRT(SUMXMY2($B39:$E39,J$3:J$6))</f>
        <v>31.2051310537487</v>
      </c>
      <c r="P39" s="5" cm="1">
        <f ca="1" t="array" ref="P39">SQRT(SUMXMY2($B39:$E39,K$3:K$6))</f>
        <v>127.025806651859</v>
      </c>
      <c r="Q39" t="str">
        <f ca="1">INDEX($M$2:$P$2,1,MATCH(MIN(M39:P39),M39:P39,0))</f>
        <v>C3</v>
      </c>
      <c r="R39">
        <v>39</v>
      </c>
      <c r="S39" t="str">
        <f ca="1">INDIRECT($F$1&amp;"!Q"&amp;R39)</f>
        <v>C3</v>
      </c>
      <c r="T39">
        <f ca="1" t="shared" si="1"/>
        <v>0</v>
      </c>
    </row>
    <row r="40" spans="1:20">
      <c r="A40" t="s">
        <v>49</v>
      </c>
      <c r="B40">
        <v>4</v>
      </c>
      <c r="C40">
        <v>57</v>
      </c>
      <c r="D40">
        <v>67</v>
      </c>
      <c r="E40">
        <v>13</v>
      </c>
      <c r="M40" s="5" cm="1">
        <f ca="1" t="array" ref="M40">SQRT(SUMXMY2($B40:$E40,H$3:H$6))</f>
        <v>52.8196056473422</v>
      </c>
      <c r="N40" s="5" cm="1">
        <f ca="1" t="array" ref="N40">SQRT(SUMXMY2($B40:$E40,I$3:I$6))</f>
        <v>9.3765406141545</v>
      </c>
      <c r="O40" s="5" cm="1">
        <f ca="1" t="array" ref="O40">SQRT(SUMXMY2($B40:$E40,J$3:J$6))</f>
        <v>74.2075481610977</v>
      </c>
      <c r="P40" s="5" cm="1">
        <f ca="1" t="array" ref="P40">SQRT(SUMXMY2($B40:$E40,K$3:K$6))</f>
        <v>173.522781085238</v>
      </c>
      <c r="Q40" t="str">
        <f ca="1">INDEX($M$2:$P$2,1,MATCH(MIN(M40:P40),M40:P40,0))</f>
        <v>C2</v>
      </c>
      <c r="R40">
        <v>40</v>
      </c>
      <c r="S40" t="str">
        <f ca="1">INDIRECT($F$1&amp;"!Q"&amp;R40)</f>
        <v>C2</v>
      </c>
      <c r="T40">
        <f ca="1" t="shared" si="1"/>
        <v>0</v>
      </c>
    </row>
    <row r="41" spans="1:20">
      <c r="A41" t="s">
        <v>50</v>
      </c>
      <c r="B41">
        <v>2</v>
      </c>
      <c r="C41">
        <v>97</v>
      </c>
      <c r="D41">
        <v>83</v>
      </c>
      <c r="E41">
        <v>5</v>
      </c>
      <c r="M41" s="5" cm="1">
        <f ca="1" t="array" ref="M41">SQRT(SUMXMY2($B41:$E41,H$3:H$6))</f>
        <v>95.8665720135524</v>
      </c>
      <c r="N41" s="5" cm="1">
        <f ca="1" t="array" ref="N41">SQRT(SUMXMY2($B41:$E41,I$3:I$6))</f>
        <v>50.2787514485217</v>
      </c>
      <c r="O41" s="5" cm="1">
        <f ca="1" t="array" ref="O41">SQRT(SUMXMY2($B41:$E41,J$3:J$6))</f>
        <v>40.1022290591209</v>
      </c>
      <c r="P41" s="5" cm="1">
        <f ca="1" t="array" ref="P41">SQRT(SUMXMY2($B41:$E41,K$3:K$6))</f>
        <v>136.45813358764</v>
      </c>
      <c r="Q41" t="str">
        <f ca="1">INDEX($M$2:$P$2,1,MATCH(MIN(M41:P41),M41:P41,0))</f>
        <v>C3</v>
      </c>
      <c r="R41">
        <v>41</v>
      </c>
      <c r="S41" t="str">
        <f ca="1">INDIRECT($F$1&amp;"!Q"&amp;R41)</f>
        <v>C3</v>
      </c>
      <c r="T41">
        <f ca="1" t="shared" si="1"/>
        <v>0</v>
      </c>
    </row>
    <row r="42" spans="1:20">
      <c r="A42" t="s">
        <v>51</v>
      </c>
      <c r="B42">
        <v>13</v>
      </c>
      <c r="C42">
        <v>210</v>
      </c>
      <c r="D42">
        <v>46</v>
      </c>
      <c r="E42">
        <v>21</v>
      </c>
      <c r="M42" s="5" cm="1">
        <f ca="1" t="array" ref="M42">SQRT(SUMXMY2($B42:$E42,H$3:H$6))</f>
        <v>203.943891158183</v>
      </c>
      <c r="N42" s="5" cm="1">
        <f ca="1" t="array" ref="N42">SQRT(SUMXMY2($B42:$E42,I$3:I$6))</f>
        <v>156.381806850698</v>
      </c>
      <c r="O42" s="5" cm="1">
        <f ca="1" t="array" ref="O42">SQRT(SUMXMY2($B42:$E42,J$3:J$6))</f>
        <v>82.6812480282573</v>
      </c>
      <c r="P42" s="5" cm="1">
        <f ca="1" t="array" ref="P42">SQRT(SUMXMY2($B42:$E42,K$3:K$6))</f>
        <v>26.0606131078215</v>
      </c>
      <c r="Q42" t="str">
        <f ca="1">INDEX($M$2:$P$2,1,MATCH(MIN(M42:P42),M42:P42,0))</f>
        <v>C4</v>
      </c>
      <c r="R42">
        <v>42</v>
      </c>
      <c r="S42" t="str">
        <f ca="1">INDIRECT($F$1&amp;"!Q"&amp;R42)</f>
        <v>C4</v>
      </c>
      <c r="T42">
        <f ca="1" t="shared" si="1"/>
        <v>0</v>
      </c>
    </row>
    <row r="43" spans="1:20">
      <c r="A43" t="s">
        <v>52</v>
      </c>
      <c r="B43">
        <v>3</v>
      </c>
      <c r="C43">
        <v>1</v>
      </c>
      <c r="D43">
        <v>43</v>
      </c>
      <c r="E43">
        <v>12</v>
      </c>
      <c r="M43" s="5" cm="1">
        <f ca="1" t="array" ref="M43">SQRT(SUMXMY2($B43:$E43,H$3:H$6))</f>
        <v>10.2208755151551</v>
      </c>
      <c r="N43" s="5" cm="1">
        <f ca="1" t="array" ref="N43">SQRT(SUMXMY2($B43:$E43,I$3:I$6))</f>
        <v>55.8041472224262</v>
      </c>
      <c r="O43" s="5" cm="1">
        <f ca="1" t="array" ref="O43">SQRT(SUMXMY2($B43:$E43,J$3:J$6))</f>
        <v>132.621007508815</v>
      </c>
      <c r="P43" s="5" cm="1">
        <f ca="1" t="array" ref="P43">SQRT(SUMXMY2($B43:$E43,K$3:K$6))</f>
        <v>230.140005697015</v>
      </c>
      <c r="Q43" t="str">
        <f ca="1">INDEX($M$2:$P$2,1,MATCH(MIN(M43:P43),M43:P43,0))</f>
        <v>C1</v>
      </c>
      <c r="R43">
        <v>43</v>
      </c>
      <c r="S43" t="str">
        <f ca="1">INDIRECT($F$1&amp;"!Q"&amp;R43)</f>
        <v>C1</v>
      </c>
      <c r="T43">
        <f ca="1" t="shared" si="1"/>
        <v>0</v>
      </c>
    </row>
    <row r="44" spans="1:20">
      <c r="A44" t="s">
        <v>53</v>
      </c>
      <c r="B44">
        <v>14</v>
      </c>
      <c r="C44">
        <v>96</v>
      </c>
      <c r="D44">
        <v>58</v>
      </c>
      <c r="E44">
        <v>27</v>
      </c>
      <c r="M44" s="5" cm="1">
        <f ca="1" t="array" ref="M44">SQRT(SUMXMY2($B44:$E44,H$3:H$6))</f>
        <v>91.8984927132266</v>
      </c>
      <c r="N44" s="5" cm="1">
        <f ca="1" t="array" ref="N44">SQRT(SUMXMY2($B44:$E44,I$3:I$6))</f>
        <v>44.3010855460174</v>
      </c>
      <c r="O44" s="5" cm="1">
        <f ca="1" t="array" ref="O44">SQRT(SUMXMY2($B44:$E44,J$3:J$6))</f>
        <v>37.4801307906154</v>
      </c>
      <c r="P44" s="5" cm="1">
        <f ca="1" t="array" ref="P44">SQRT(SUMXMY2($B44:$E44,K$3:K$6))</f>
        <v>133.90850939686</v>
      </c>
      <c r="Q44" t="str">
        <f ca="1">INDEX($M$2:$P$2,1,MATCH(MIN(M44:P44),M44:P44,0))</f>
        <v>C3</v>
      </c>
      <c r="R44">
        <v>44</v>
      </c>
      <c r="S44" t="str">
        <f ca="1">INDIRECT($F$1&amp;"!Q"&amp;R44)</f>
        <v>C3</v>
      </c>
      <c r="T44">
        <f ca="1" t="shared" si="1"/>
        <v>0</v>
      </c>
    </row>
    <row r="45" spans="1:20">
      <c r="A45" t="s">
        <v>54</v>
      </c>
      <c r="B45">
        <v>13</v>
      </c>
      <c r="C45">
        <v>137</v>
      </c>
      <c r="D45">
        <v>79</v>
      </c>
      <c r="E45">
        <v>25</v>
      </c>
      <c r="M45" s="5" cm="1">
        <f ca="1" t="array" ref="M45">SQRT(SUMXMY2($B45:$E45,H$3:H$6))</f>
        <v>134.490146961142</v>
      </c>
      <c r="N45" s="5" cm="1">
        <f ca="1" t="array" ref="N45">SQRT(SUMXMY2($B45:$E45,I$3:I$6))</f>
        <v>86.0742093422234</v>
      </c>
      <c r="O45" s="5" cm="1">
        <f ca="1" t="array" ref="O45">SQRT(SUMXMY2($B45:$E45,J$3:J$6))</f>
        <v>13.8012495737132</v>
      </c>
      <c r="P45" s="5" cm="1">
        <f ca="1" t="array" ref="P45">SQRT(SUMXMY2($B45:$E45,K$3:K$6))</f>
        <v>94.4497514848798</v>
      </c>
      <c r="Q45" t="str">
        <f ca="1">INDEX($M$2:$P$2,1,MATCH(MIN(M45:P45),M45:P45,0))</f>
        <v>C3</v>
      </c>
      <c r="R45">
        <v>45</v>
      </c>
      <c r="S45" t="str">
        <f ca="1">INDIRECT($F$1&amp;"!Q"&amp;R45)</f>
        <v>C3</v>
      </c>
      <c r="T45">
        <f ca="1" t="shared" si="1"/>
        <v>0</v>
      </c>
    </row>
    <row r="46" spans="1:20">
      <c r="A46" t="s">
        <v>55</v>
      </c>
      <c r="B46">
        <v>0</v>
      </c>
      <c r="C46">
        <v>49</v>
      </c>
      <c r="D46">
        <v>74</v>
      </c>
      <c r="E46">
        <v>21</v>
      </c>
      <c r="M46" s="5" cm="1">
        <f ca="1" t="array" ref="M46">SQRT(SUMXMY2($B46:$E46,H$3:H$6))</f>
        <v>49.2357104669485</v>
      </c>
      <c r="N46" s="5" cm="1">
        <f ca="1" t="array" ref="N46">SQRT(SUMXMY2($B46:$E46,I$3:I$6))</f>
        <v>17.6584119866111</v>
      </c>
      <c r="O46" s="5" cm="1">
        <f ca="1" t="array" ref="O46">SQRT(SUMXMY2($B46:$E46,J$3:J$6))</f>
        <v>82.2472938578454</v>
      </c>
      <c r="P46" s="5" cm="1">
        <f ca="1" t="array" ref="P46">SQRT(SUMXMY2($B46:$E46,K$3:K$6))</f>
        <v>181.585119312006</v>
      </c>
      <c r="Q46" t="str">
        <f ca="1">INDEX($M$2:$P$2,1,MATCH(MIN(M46:P46),M46:P46,0))</f>
        <v>C2</v>
      </c>
      <c r="R46">
        <v>46</v>
      </c>
      <c r="S46" t="str">
        <f ca="1">INDIRECT($F$1&amp;"!Q"&amp;R46)</f>
        <v>C2</v>
      </c>
      <c r="T46">
        <f ca="1" t="shared" si="1"/>
        <v>0</v>
      </c>
    </row>
    <row r="47" spans="1:20">
      <c r="A47" t="s">
        <v>56</v>
      </c>
      <c r="B47">
        <v>0.1</v>
      </c>
      <c r="C47">
        <v>44</v>
      </c>
      <c r="D47">
        <v>24</v>
      </c>
      <c r="E47">
        <v>8</v>
      </c>
      <c r="M47" s="5" cm="1">
        <f ca="1" t="array" ref="M47">SQRT(SUMXMY2($B47:$E47,H$3:H$6))</f>
        <v>46.258052352076</v>
      </c>
      <c r="N47" s="5" cm="1">
        <f ca="1" t="array" ref="N47">SQRT(SUMXMY2($B47:$E47,I$3:I$6))</f>
        <v>36.9503429919429</v>
      </c>
      <c r="O47" s="5" cm="1">
        <f ca="1" t="array" ref="O47">SQRT(SUMXMY2($B47:$E47,J$3:J$6))</f>
        <v>98.7171221424208</v>
      </c>
      <c r="P47" s="5" cm="1">
        <f ca="1" t="array" ref="P47">SQRT(SUMXMY2($B47:$E47,K$3:K$6))</f>
        <v>190.767062728927</v>
      </c>
      <c r="Q47" t="str">
        <f ca="1">INDEX($M$2:$P$2,1,MATCH(MIN(M47:P47),M47:P47,0))</f>
        <v>C2</v>
      </c>
      <c r="R47">
        <v>47</v>
      </c>
      <c r="S47" t="str">
        <f ca="1">INDIRECT($F$1&amp;"!Q"&amp;R47)</f>
        <v>C2</v>
      </c>
      <c r="T47">
        <f ca="1" t="shared" si="1"/>
        <v>0</v>
      </c>
    </row>
    <row r="48" spans="1:20">
      <c r="A48" t="s">
        <v>57</v>
      </c>
      <c r="B48">
        <v>7</v>
      </c>
      <c r="C48">
        <v>100</v>
      </c>
      <c r="D48">
        <v>58</v>
      </c>
      <c r="E48">
        <v>16</v>
      </c>
      <c r="M48" s="5" cm="1">
        <f ca="1" t="array" ref="M48">SQRT(SUMXMY2($B48:$E48,H$3:H$6))</f>
        <v>93.8510620709849</v>
      </c>
      <c r="N48" s="5" cm="1">
        <f ca="1" t="array" ref="N48">SQRT(SUMXMY2($B48:$E48,I$3:I$6))</f>
        <v>45.6494196446011</v>
      </c>
      <c r="O48" s="5" cm="1">
        <f ca="1" t="array" ref="O48">SQRT(SUMXMY2($B48:$E48,J$3:J$6))</f>
        <v>32.8857794463795</v>
      </c>
      <c r="P48" s="5" cm="1">
        <f ca="1" t="array" ref="P48">SQRT(SUMXMY2($B48:$E48,K$3:K$6))</f>
        <v>130.323273269035</v>
      </c>
      <c r="Q48" t="str">
        <f ca="1">INDEX($M$2:$P$2,1,MATCH(MIN(M48:P48),M48:P48,0))</f>
        <v>C3</v>
      </c>
      <c r="R48">
        <v>48</v>
      </c>
      <c r="S48" t="str">
        <f ca="1">INDIRECT($F$1&amp;"!Q"&amp;R48)</f>
        <v>C3</v>
      </c>
      <c r="T48">
        <f ca="1" t="shared" si="1"/>
        <v>0</v>
      </c>
    </row>
    <row r="49" spans="1:20">
      <c r="A49" t="s">
        <v>58</v>
      </c>
      <c r="B49">
        <v>1</v>
      </c>
      <c r="C49">
        <v>62</v>
      </c>
      <c r="D49">
        <v>73</v>
      </c>
      <c r="E49">
        <v>24</v>
      </c>
      <c r="M49" s="5" cm="1">
        <f ca="1" t="array" ref="M49">SQRT(SUMXMY2($B49:$E49,H$3:H$6))</f>
        <v>60.979775032079</v>
      </c>
      <c r="N49" s="5" cm="1">
        <f ca="1" t="array" ref="N49">SQRT(SUMXMY2($B49:$E49,I$3:I$6))</f>
        <v>18.5059318568098</v>
      </c>
      <c r="O49" s="5" cm="1">
        <f ca="1" t="array" ref="O49">SQRT(SUMXMY2($B49:$E49,J$3:J$6))</f>
        <v>69.2648348510178</v>
      </c>
      <c r="P49" s="5" cm="1">
        <f ca="1" t="array" ref="P49">SQRT(SUMXMY2($B49:$E49,K$3:K$6))</f>
        <v>168.445705067109</v>
      </c>
      <c r="Q49" t="str">
        <f ca="1">INDEX($M$2:$P$2,1,MATCH(MIN(M49:P49),M49:P49,0))</f>
        <v>C2</v>
      </c>
      <c r="R49">
        <v>49</v>
      </c>
      <c r="S49" t="str">
        <f ca="1">INDIRECT($F$1&amp;"!Q"&amp;R49)</f>
        <v>C2</v>
      </c>
      <c r="T49">
        <f ca="1" t="shared" si="1"/>
        <v>0</v>
      </c>
    </row>
    <row r="50" spans="1:20">
      <c r="A50" t="s">
        <v>59</v>
      </c>
      <c r="B50">
        <v>5</v>
      </c>
      <c r="C50">
        <v>65</v>
      </c>
      <c r="D50">
        <v>34</v>
      </c>
      <c r="E50">
        <v>9</v>
      </c>
      <c r="M50" s="5" cm="1">
        <f ca="1" t="array" ref="M50">SQRT(SUMXMY2($B50:$E50,H$3:H$6))</f>
        <v>60.879294661802</v>
      </c>
      <c r="N50" s="5" cm="1">
        <f ca="1" t="array" ref="N50">SQRT(SUMXMY2($B50:$E50,I$3:I$6))</f>
        <v>27.4724622222974</v>
      </c>
      <c r="O50" s="5" cm="1">
        <f ca="1" t="array" ref="O50">SQRT(SUMXMY2($B50:$E50,J$3:J$6))</f>
        <v>75.3110895159646</v>
      </c>
      <c r="P50" s="5" cm="1">
        <f ca="1" t="array" ref="P50">SQRT(SUMXMY2($B50:$E50,K$3:K$6))</f>
        <v>168.119864646891</v>
      </c>
      <c r="Q50" t="str">
        <f ca="1">INDEX($M$2:$P$2,1,MATCH(MIN(M50:P50),M50:P50,0))</f>
        <v>C2</v>
      </c>
      <c r="R50">
        <v>50</v>
      </c>
      <c r="S50" t="str">
        <f ca="1">INDIRECT($F$1&amp;"!Q"&amp;R50)</f>
        <v>C2</v>
      </c>
      <c r="T50">
        <f ca="1" t="shared" si="1"/>
        <v>0</v>
      </c>
    </row>
    <row r="51" spans="1:20">
      <c r="A51" t="s">
        <v>60</v>
      </c>
      <c r="B51">
        <v>0</v>
      </c>
      <c r="C51">
        <v>0.1</v>
      </c>
      <c r="D51">
        <v>60</v>
      </c>
      <c r="E51">
        <v>11</v>
      </c>
      <c r="M51" s="5" cm="1">
        <f ca="1" t="array" ref="M51">SQRT(SUMXMY2($B51:$E51,H$3:H$6))</f>
        <v>11.1535080015545</v>
      </c>
      <c r="N51" s="5" cm="1">
        <f ca="1" t="array" ref="N51">SQRT(SUMXMY2($B51:$E51,I$3:I$6))</f>
        <v>54.7320397989656</v>
      </c>
      <c r="O51" s="5" cm="1">
        <f ca="1" t="array" ref="O51">SQRT(SUMXMY2($B51:$E51,J$3:J$6))</f>
        <v>131.484051954476</v>
      </c>
      <c r="P51" s="5" cm="1">
        <f ca="1" t="array" ref="P51">SQRT(SUMXMY2($B51:$E51,K$3:K$6))</f>
        <v>230.458540498912</v>
      </c>
      <c r="Q51" t="str">
        <f ca="1">INDEX($M$2:$P$2,1,MATCH(MIN(M51:P51),M51:P51,0))</f>
        <v>C1</v>
      </c>
      <c r="R51">
        <v>51</v>
      </c>
      <c r="S51" t="str">
        <f ca="1">INDIRECT($F$1&amp;"!Q"&amp;R51)</f>
        <v>C1</v>
      </c>
      <c r="T51">
        <f ca="1" t="shared" si="1"/>
        <v>0</v>
      </c>
    </row>
    <row r="52" spans="1:20">
      <c r="A52" t="s">
        <v>61</v>
      </c>
      <c r="B52">
        <v>6</v>
      </c>
      <c r="C52">
        <v>143</v>
      </c>
      <c r="D52">
        <v>51</v>
      </c>
      <c r="E52">
        <v>11</v>
      </c>
      <c r="M52" s="5" cm="1">
        <f ca="1" t="array" ref="M52">SQRT(SUMXMY2($B52:$E52,H$3:H$6))</f>
        <v>136.355742521239</v>
      </c>
      <c r="N52" s="5" cm="1">
        <f ca="1" t="array" ref="N52">SQRT(SUMXMY2($B52:$E52,I$3:I$6))</f>
        <v>88.9768856532726</v>
      </c>
      <c r="O52" s="5" cm="1">
        <f ca="1" t="array" ref="O52">SQRT(SUMXMY2($B52:$E52,J$3:J$6))</f>
        <v>23.7044945363636</v>
      </c>
      <c r="P52" s="5" cm="1">
        <f ca="1" t="array" ref="P52">SQRT(SUMXMY2($B52:$E52,K$3:K$6))</f>
        <v>88.9375561216345</v>
      </c>
      <c r="Q52" t="str">
        <f ca="1">INDEX($M$2:$P$2,1,MATCH(MIN(M52:P52),M52:P52,0))</f>
        <v>C3</v>
      </c>
      <c r="R52">
        <v>52</v>
      </c>
      <c r="S52" t="str">
        <f ca="1">INDIRECT($F$1&amp;"!Q"&amp;R52)</f>
        <v>C3</v>
      </c>
      <c r="T52">
        <f ca="1" t="shared" si="1"/>
        <v>0</v>
      </c>
    </row>
  </sheetData>
  <mergeCells count="3">
    <mergeCell ref="G1:K1"/>
    <mergeCell ref="M1:P1"/>
    <mergeCell ref="G10:H1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workbookViewId="0">
      <selection activeCell="K23" sqref="K23"/>
    </sheetView>
  </sheetViews>
  <sheetFormatPr defaultColWidth="9" defaultRowHeight="15"/>
  <cols>
    <col min="10" max="11" width="12.8571428571429"/>
    <col min="13" max="16" width="14.5714285714286"/>
    <col min="19" max="19" width="10.5714285714286" customWidth="1"/>
    <col min="20" max="20" width="10.4285714285714" customWidth="1"/>
  </cols>
  <sheetData>
    <row r="1" spans="6:18">
      <c r="F1">
        <f ca="1">_xlfn.SHEET(A1)-1</f>
        <v>4</v>
      </c>
      <c r="G1" s="4" t="s">
        <v>0</v>
      </c>
      <c r="H1" s="4"/>
      <c r="I1" s="4"/>
      <c r="J1" s="4"/>
      <c r="K1" s="4"/>
      <c r="M1" s="4" t="s">
        <v>1</v>
      </c>
      <c r="N1" s="4"/>
      <c r="O1" s="4"/>
      <c r="P1" s="4"/>
      <c r="R1">
        <v>1</v>
      </c>
    </row>
    <row r="2" spans="1:20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M2" t="s">
        <v>8</v>
      </c>
      <c r="N2" t="s">
        <v>9</v>
      </c>
      <c r="O2" t="s">
        <v>10</v>
      </c>
      <c r="P2" t="s">
        <v>11</v>
      </c>
      <c r="Q2" t="s">
        <v>7</v>
      </c>
      <c r="R2">
        <v>2</v>
      </c>
      <c r="S2" t="s">
        <v>62</v>
      </c>
      <c r="T2" t="s">
        <v>63</v>
      </c>
    </row>
    <row r="3" spans="1:20">
      <c r="A3" t="s">
        <v>12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3</v>
      </c>
      <c r="H3">
        <f ca="1" t="shared" ref="H3:K3" si="0">IFERROR(AVERAGEIFS(INDIRECT($F$1&amp;"!"&amp;ADDRESS(3,$F3,1)):INDIRECT($F$1&amp;"!"&amp;ADDRESS(52,$F3,1)),INDIRECT($F$1&amp;"!$Q$3"):INDIRECT($F$1&amp;"!$Q$52"),H$2),0)</f>
        <v>2.31</v>
      </c>
      <c r="I3">
        <f ca="1" t="shared" si="0"/>
        <v>3.00909090909091</v>
      </c>
      <c r="J3">
        <f ca="1" t="shared" si="0"/>
        <v>7.8</v>
      </c>
      <c r="K3">
        <f ca="1" t="shared" si="0"/>
        <v>10.2857142857143</v>
      </c>
      <c r="M3" s="5" cm="1">
        <f ca="1" t="array" ref="M3">SQRT(SUMXMY2($B3:$E3,H$3:H$6))</f>
        <v>184.881328694923</v>
      </c>
      <c r="N3" s="5" cm="1">
        <f ca="1" t="array" ref="N3">SQRT(SUMXMY2($B3:$E3,I$3:I$6))</f>
        <v>136.4894029126</v>
      </c>
      <c r="O3" s="5" cm="1">
        <f ca="1" t="array" ref="O3">SQRT(SUMXMY2($B3:$E3,J$3:J$6))</f>
        <v>61.6318099685544</v>
      </c>
      <c r="P3" s="5" cm="1">
        <f ca="1" t="array" ref="P3">SQRT(SUMXMY2($B3:$E3,K$3:K$6))</f>
        <v>42.68943376413</v>
      </c>
      <c r="Q3" t="str">
        <f ca="1">INDEX($M$2:$P$2,1,MATCH(MIN(M3:P3),M3:P3,0))</f>
        <v>C4</v>
      </c>
      <c r="R3">
        <v>3</v>
      </c>
      <c r="S3" t="str">
        <f ca="1">INDIRECT($F$1&amp;"!Q"&amp;R3)</f>
        <v>C4</v>
      </c>
      <c r="T3">
        <f ca="1" t="shared" ref="T3:T52" si="1">IF(Q3=S3,0,1)</f>
        <v>0</v>
      </c>
    </row>
    <row r="4" spans="1:20">
      <c r="A4" t="s">
        <v>13</v>
      </c>
      <c r="B4">
        <v>9</v>
      </c>
      <c r="C4">
        <v>222</v>
      </c>
      <c r="D4">
        <v>39</v>
      </c>
      <c r="E4">
        <v>42</v>
      </c>
      <c r="F4">
        <v>3</v>
      </c>
      <c r="G4" t="s">
        <v>4</v>
      </c>
      <c r="H4">
        <f ca="1" t="shared" ref="H4:K4" si="2">IFERROR(AVERAGEIFS(INDIRECT($F$1&amp;"!"&amp;ADDRESS(3,$F4,1)):INDIRECT($F$1&amp;"!"&amp;ADDRESS(52,$F4,1)),INDIRECT($F$1&amp;"!$Q$3"):INDIRECT($F$1&amp;"!$Q$52"),H$2),0)</f>
        <v>8.64</v>
      </c>
      <c r="I4">
        <f ca="1" t="shared" si="2"/>
        <v>57.0909090909091</v>
      </c>
      <c r="J4">
        <f ca="1" t="shared" si="2"/>
        <v>133.8</v>
      </c>
      <c r="K4">
        <f ca="1" t="shared" si="2"/>
        <v>233.571428571429</v>
      </c>
      <c r="M4" s="5" cm="1">
        <f ca="1" t="array" ref="M4">SQRT(SUMXMY2($B4:$E4,H$3:H$6))</f>
        <v>216.103784557328</v>
      </c>
      <c r="N4" s="5" cm="1">
        <f ca="1" t="array" ref="N4">SQRT(SUMXMY2($B4:$E4,I$3:I$6))</f>
        <v>168.195375620631</v>
      </c>
      <c r="O4" s="5" cm="1">
        <f ca="1" t="array" ref="O4">SQRT(SUMXMY2($B4:$E4,J$3:J$6))</f>
        <v>95.2569157594345</v>
      </c>
      <c r="P4" s="5" cm="1">
        <f ca="1" t="array" ref="P4">SQRT(SUMXMY2($B4:$E4,K$3:K$6))</f>
        <v>30.1276197099564</v>
      </c>
      <c r="Q4" t="str">
        <f ca="1">INDEX($M$2:$P$2,1,MATCH(MIN(M4:P4),M4:P4,0))</f>
        <v>C4</v>
      </c>
      <c r="R4">
        <v>4</v>
      </c>
      <c r="S4" t="str">
        <f ca="1">INDIRECT($F$1&amp;"!Q"&amp;R4)</f>
        <v>C4</v>
      </c>
      <c r="T4">
        <f ca="1" t="shared" si="1"/>
        <v>0</v>
      </c>
    </row>
    <row r="5" spans="1:20">
      <c r="A5" t="s">
        <v>14</v>
      </c>
      <c r="B5">
        <v>6</v>
      </c>
      <c r="C5">
        <v>226</v>
      </c>
      <c r="D5">
        <v>72</v>
      </c>
      <c r="E5">
        <v>30</v>
      </c>
      <c r="F5">
        <v>4</v>
      </c>
      <c r="G5" t="s">
        <v>5</v>
      </c>
      <c r="H5">
        <f ca="1" t="shared" ref="H5:K5" si="3">IFERROR(AVERAGEIFS(INDIRECT($F$1&amp;"!"&amp;ADDRESS(3,$F5,1)):INDIRECT($F$1&amp;"!"&amp;ADDRESS(52,$F5,1)),INDIRECT($F$1&amp;"!$Q$3"):INDIRECT($F$1&amp;"!$Q$52"),H$2),0)</f>
        <v>52.6</v>
      </c>
      <c r="I5">
        <f ca="1" t="shared" si="3"/>
        <v>57.8181818181818</v>
      </c>
      <c r="J5">
        <f ca="1" t="shared" si="3"/>
        <v>67.6</v>
      </c>
      <c r="K5">
        <f ca="1" t="shared" si="3"/>
        <v>62.5714285714286</v>
      </c>
      <c r="M5" s="5" cm="1">
        <f ca="1" t="array" ref="M5">SQRT(SUMXMY2($B5:$E5,H$3:H$6))</f>
        <v>219.063428485907</v>
      </c>
      <c r="N5" s="5" cm="1">
        <f ca="1" t="array" ref="N5">SQRT(SUMXMY2($B5:$E5,I$3:I$6))</f>
        <v>170.152639544033</v>
      </c>
      <c r="O5" s="5" cm="1">
        <f ca="1" t="array" ref="O5">SQRT(SUMXMY2($B5:$E5,J$3:J$6))</f>
        <v>92.8411546675288</v>
      </c>
      <c r="P5" s="5" cm="1">
        <f ca="1" t="array" ref="P5">SQRT(SUMXMY2($B5:$E5,K$3:K$6))</f>
        <v>13.1133208484148</v>
      </c>
      <c r="Q5" t="str">
        <f ca="1">INDEX($M$2:$P$2,1,MATCH(MIN(M5:P5),M5:P5,0))</f>
        <v>C4</v>
      </c>
      <c r="R5">
        <v>5</v>
      </c>
      <c r="S5" t="str">
        <f ca="1">INDIRECT($F$1&amp;"!Q"&amp;R5)</f>
        <v>C4</v>
      </c>
      <c r="T5">
        <f ca="1" t="shared" si="1"/>
        <v>0</v>
      </c>
    </row>
    <row r="6" spans="1:20">
      <c r="A6" t="s">
        <v>15</v>
      </c>
      <c r="B6">
        <v>8</v>
      </c>
      <c r="C6">
        <v>177</v>
      </c>
      <c r="D6">
        <v>50</v>
      </c>
      <c r="E6">
        <v>17</v>
      </c>
      <c r="F6">
        <v>5</v>
      </c>
      <c r="G6" t="s">
        <v>6</v>
      </c>
      <c r="H6">
        <f ca="1" t="shared" ref="H6:K6" si="4">IFERROR(AVERAGEIFS(INDIRECT($F$1&amp;"!"&amp;ADDRESS(3,$F6,1)):INDIRECT($F$1&amp;"!"&amp;ADDRESS(52,$F6,1)),INDIRECT($F$1&amp;"!$Q$3"):INDIRECT($F$1&amp;"!$Q$52"),H$2),0)</f>
        <v>11.2</v>
      </c>
      <c r="I6">
        <f ca="1" t="shared" si="4"/>
        <v>15.4545454545455</v>
      </c>
      <c r="J6">
        <f ca="1" t="shared" si="4"/>
        <v>20.2</v>
      </c>
      <c r="K6">
        <f ca="1" t="shared" si="4"/>
        <v>27.2857142857143</v>
      </c>
      <c r="M6" s="5" cm="1">
        <f ca="1" t="array" ref="M6">SQRT(SUMXMY2($B6:$E6,H$3:H$6))</f>
        <v>168.57599384254</v>
      </c>
      <c r="N6" s="5" cm="1">
        <f ca="1" t="array" ref="N6">SQRT(SUMXMY2($B6:$E6,I$3:I$6))</f>
        <v>120.277228322291</v>
      </c>
      <c r="O6" s="5" cm="1">
        <f ca="1" t="array" ref="O6">SQRT(SUMXMY2($B6:$E6,J$3:J$6))</f>
        <v>46.7576731670856</v>
      </c>
      <c r="P6" s="5" cm="1">
        <f ca="1" t="array" ref="P6">SQRT(SUMXMY2($B6:$E6,K$3:K$6))</f>
        <v>58.9015089373952</v>
      </c>
      <c r="Q6" t="str">
        <f ca="1">INDEX($M$2:$P$2,1,MATCH(MIN(M6:P6),M6:P6,0))</f>
        <v>C3</v>
      </c>
      <c r="R6">
        <v>6</v>
      </c>
      <c r="S6" t="str">
        <f ca="1">INDIRECT($F$1&amp;"!Q"&amp;R6)</f>
        <v>C3</v>
      </c>
      <c r="T6">
        <f ca="1" t="shared" si="1"/>
        <v>0</v>
      </c>
    </row>
    <row r="7" spans="1:20">
      <c r="A7" t="s">
        <v>16</v>
      </c>
      <c r="B7">
        <v>7</v>
      </c>
      <c r="C7">
        <v>235</v>
      </c>
      <c r="D7">
        <v>86</v>
      </c>
      <c r="E7">
        <v>39</v>
      </c>
      <c r="M7" s="5" cm="1">
        <f ca="1" t="array" ref="M7">SQRT(SUMXMY2($B7:$E7,H$3:H$6))</f>
        <v>230.5412017406</v>
      </c>
      <c r="N7" s="5" cm="1">
        <f ca="1" t="array" ref="N7">SQRT(SUMXMY2($B7:$E7,I$3:I$6))</f>
        <v>181.703536809981</v>
      </c>
      <c r="O7" s="5" cm="1">
        <f ca="1" t="array" ref="O7">SQRT(SUMXMY2($B7:$E7,J$3:J$6))</f>
        <v>104.566151311024</v>
      </c>
      <c r="P7" s="5" cm="1">
        <f ca="1" t="array" ref="P7">SQRT(SUMXMY2($B7:$E7,K$3:K$6))</f>
        <v>26.4378362139088</v>
      </c>
      <c r="Q7" t="str">
        <f ca="1">INDEX($M$2:$P$2,1,MATCH(MIN(M7:P7),M7:P7,0))</f>
        <v>C4</v>
      </c>
      <c r="R7">
        <v>7</v>
      </c>
      <c r="S7" t="str">
        <f ca="1">INDIRECT($F$1&amp;"!Q"&amp;R7)</f>
        <v>C4</v>
      </c>
      <c r="T7">
        <f ca="1" t="shared" si="1"/>
        <v>0</v>
      </c>
    </row>
    <row r="8" spans="1:20">
      <c r="A8" t="s">
        <v>17</v>
      </c>
      <c r="B8">
        <v>5</v>
      </c>
      <c r="C8">
        <v>170</v>
      </c>
      <c r="D8">
        <v>78</v>
      </c>
      <c r="E8">
        <v>37</v>
      </c>
      <c r="M8" s="5" cm="1">
        <f ca="1" t="array" ref="M8">SQRT(SUMXMY2($B8:$E8,H$3:H$6))</f>
        <v>165.393729324905</v>
      </c>
      <c r="N8" s="5" cm="1">
        <f ca="1" t="array" ref="N8">SQRT(SUMXMY2($B8:$E8,I$3:I$6))</f>
        <v>116.721630067524</v>
      </c>
      <c r="O8" s="5" cm="1">
        <f ca="1" t="array" ref="O8">SQRT(SUMXMY2($B8:$E8,J$3:J$6))</f>
        <v>41.3361826974867</v>
      </c>
      <c r="P8" s="5" cm="1">
        <f ca="1" t="array" ref="P8">SQRT(SUMXMY2($B8:$E8,K$3:K$6))</f>
        <v>66.3451088580594</v>
      </c>
      <c r="Q8" t="str">
        <f ca="1">INDEX($M$2:$P$2,1,MATCH(MIN(M8:P8),M8:P8,0))</f>
        <v>C3</v>
      </c>
      <c r="R8">
        <v>8</v>
      </c>
      <c r="S8" t="str">
        <f ca="1">INDIRECT($F$1&amp;"!Q"&amp;R8)</f>
        <v>C3</v>
      </c>
      <c r="T8">
        <f ca="1" t="shared" si="1"/>
        <v>0</v>
      </c>
    </row>
    <row r="9" spans="1:20">
      <c r="A9" t="s">
        <v>18</v>
      </c>
      <c r="B9">
        <v>0</v>
      </c>
      <c r="C9">
        <v>35</v>
      </c>
      <c r="D9">
        <v>75</v>
      </c>
      <c r="E9">
        <v>7</v>
      </c>
      <c r="M9" s="5" cm="1">
        <f ca="1" t="array" ref="M9">SQRT(SUMXMY2($B9:$E9,H$3:H$6))</f>
        <v>34.922567202312</v>
      </c>
      <c r="N9" s="5" cm="1">
        <f ca="1" t="array" ref="N9">SQRT(SUMXMY2($B9:$E9,I$3:I$6))</f>
        <v>29.3897449365934</v>
      </c>
      <c r="O9" s="5" cm="1">
        <f ca="1" t="array" ref="O9">SQRT(SUMXMY2($B9:$E9,J$3:J$6))</f>
        <v>100.256072135308</v>
      </c>
      <c r="P9" s="5" cm="1">
        <f ca="1" t="array" ref="P9">SQRT(SUMXMY2($B9:$E9,K$3:K$6))</f>
        <v>200.255805796242</v>
      </c>
      <c r="Q9" t="str">
        <f ca="1">INDEX($M$2:$P$2,1,MATCH(MIN(M9:P9),M9:P9,0))</f>
        <v>C2</v>
      </c>
      <c r="R9">
        <v>9</v>
      </c>
      <c r="S9" t="str">
        <f ca="1">INDIRECT($F$1&amp;"!Q"&amp;R9)</f>
        <v>C2</v>
      </c>
      <c r="T9">
        <f ca="1" t="shared" si="1"/>
        <v>0</v>
      </c>
    </row>
    <row r="10" spans="1:20">
      <c r="A10" t="s">
        <v>19</v>
      </c>
      <c r="B10">
        <v>4</v>
      </c>
      <c r="C10">
        <v>198</v>
      </c>
      <c r="D10">
        <v>70</v>
      </c>
      <c r="E10">
        <v>15</v>
      </c>
      <c r="G10" s="4" t="s">
        <v>64</v>
      </c>
      <c r="H10" s="4"/>
      <c r="I10">
        <f ca="1">SUM(T3:T52)</f>
        <v>0</v>
      </c>
      <c r="M10" s="5" cm="1">
        <f ca="1" t="array" ref="M10">SQRT(SUMXMY2($B10:$E10,H$3:H$6))</f>
        <v>190.203222107303</v>
      </c>
      <c r="N10" s="5" cm="1">
        <f ca="1" t="array" ref="N10">SQRT(SUMXMY2($B10:$E10,I$3:I$6))</f>
        <v>141.438881172887</v>
      </c>
      <c r="O10" s="5" cm="1">
        <f ca="1" t="array" ref="O10">SQRT(SUMXMY2($B10:$E10,J$3:J$6))</f>
        <v>64.5668645668968</v>
      </c>
      <c r="P10" s="5" cm="1">
        <f ca="1" t="array" ref="P10">SQRT(SUMXMY2($B10:$E10,K$3:K$6))</f>
        <v>38.8710584326369</v>
      </c>
      <c r="Q10" t="str">
        <f ca="1">INDEX($M$2:$P$2,1,MATCH(MIN(M10:P10),M10:P10,0))</f>
        <v>C4</v>
      </c>
      <c r="R10">
        <v>10</v>
      </c>
      <c r="S10" t="str">
        <f ca="1">INDIRECT($F$1&amp;"!Q"&amp;R10)</f>
        <v>C4</v>
      </c>
      <c r="T10">
        <f ca="1" t="shared" si="1"/>
        <v>0</v>
      </c>
    </row>
    <row r="11" spans="1:20">
      <c r="A11" t="s">
        <v>20</v>
      </c>
      <c r="B11">
        <v>13</v>
      </c>
      <c r="C11">
        <v>259</v>
      </c>
      <c r="D11">
        <v>74</v>
      </c>
      <c r="E11">
        <v>30</v>
      </c>
      <c r="M11" s="5" cm="1">
        <f ca="1" t="array" ref="M11">SQRT(SUMXMY2($B11:$E11,H$3:H$6))</f>
        <v>252.201914544676</v>
      </c>
      <c r="N11" s="5" cm="1">
        <f ca="1" t="array" ref="N11">SQRT(SUMXMY2($B11:$E11,I$3:I$6))</f>
        <v>203.323684660203</v>
      </c>
      <c r="O11" s="5" cm="1">
        <f ca="1" t="array" ref="O11">SQRT(SUMXMY2($B11:$E11,J$3:J$6))</f>
        <v>125.853406787421</v>
      </c>
      <c r="P11" s="5" cm="1">
        <f ca="1" t="array" ref="P11">SQRT(SUMXMY2($B11:$E11,K$3:K$6))</f>
        <v>28.1417693770926</v>
      </c>
      <c r="Q11" t="str">
        <f ca="1">INDEX($M$2:$P$2,1,MATCH(MIN(M11:P11),M11:P11,0))</f>
        <v>C4</v>
      </c>
      <c r="R11">
        <v>11</v>
      </c>
      <c r="S11" t="str">
        <f ca="1">INDIRECT($F$1&amp;"!Q"&amp;R11)</f>
        <v>C4</v>
      </c>
      <c r="T11">
        <f ca="1" t="shared" si="1"/>
        <v>0</v>
      </c>
    </row>
    <row r="12" spans="1:20">
      <c r="A12" t="s">
        <v>21</v>
      </c>
      <c r="B12">
        <v>15</v>
      </c>
      <c r="C12">
        <v>136</v>
      </c>
      <c r="D12">
        <v>52</v>
      </c>
      <c r="E12">
        <v>24</v>
      </c>
      <c r="M12" s="5" cm="1">
        <f ca="1" t="array" ref="M12">SQRT(SUMXMY2($B12:$E12,H$3:H$6))</f>
        <v>128.630500659836</v>
      </c>
      <c r="N12" s="5" cm="1">
        <f ca="1" t="array" ref="N12">SQRT(SUMXMY2($B12:$E12,I$3:I$6))</f>
        <v>80.4816908494315</v>
      </c>
      <c r="O12" s="5" cm="1">
        <f ca="1" t="array" ref="O12">SQRT(SUMXMY2($B12:$E12,J$3:J$6))</f>
        <v>17.7335839581287</v>
      </c>
      <c r="P12" s="5" cm="1">
        <f ca="1" t="array" ref="P12">SQRT(SUMXMY2($B12:$E12,K$3:K$6))</f>
        <v>98.310524277279</v>
      </c>
      <c r="Q12" t="str">
        <f ca="1">INDEX($M$2:$P$2,1,MATCH(MIN(M12:P12),M12:P12,0))</f>
        <v>C3</v>
      </c>
      <c r="R12">
        <v>12</v>
      </c>
      <c r="S12" t="str">
        <f ca="1">INDIRECT($F$1&amp;"!Q"&amp;R12)</f>
        <v>C3</v>
      </c>
      <c r="T12">
        <f ca="1" t="shared" si="1"/>
        <v>0</v>
      </c>
    </row>
    <row r="13" spans="1:20">
      <c r="A13" t="s">
        <v>22</v>
      </c>
      <c r="B13">
        <v>5</v>
      </c>
      <c r="C13">
        <v>32</v>
      </c>
      <c r="D13">
        <v>82</v>
      </c>
      <c r="E13">
        <v>17</v>
      </c>
      <c r="M13" s="5" cm="1">
        <f ca="1" t="array" ref="M13">SQRT(SUMXMY2($B13:$E13,H$3:H$6))</f>
        <v>38.0910186264426</v>
      </c>
      <c r="N13" s="5" cm="1">
        <f ca="1" t="array" ref="N13">SQRT(SUMXMY2($B13:$E13,I$3:I$6))</f>
        <v>34.938033693199</v>
      </c>
      <c r="O13" s="5" cm="1">
        <f ca="1" t="array" ref="O13">SQRT(SUMXMY2($B13:$E13,J$3:J$6))</f>
        <v>102.901311944989</v>
      </c>
      <c r="P13" s="5" cm="1">
        <f ca="1" t="array" ref="P13">SQRT(SUMXMY2($B13:$E13,K$3:K$6))</f>
        <v>202.835511925203</v>
      </c>
      <c r="Q13" t="str">
        <f ca="1">INDEX($M$2:$P$2,1,MATCH(MIN(M13:P13),M13:P13,0))</f>
        <v>C2</v>
      </c>
      <c r="R13">
        <v>13</v>
      </c>
      <c r="S13" t="str">
        <f ca="1">INDIRECT($F$1&amp;"!Q"&amp;R13)</f>
        <v>C2</v>
      </c>
      <c r="T13">
        <f ca="1" t="shared" si="1"/>
        <v>0</v>
      </c>
    </row>
    <row r="14" spans="1:20">
      <c r="A14" t="s">
        <v>23</v>
      </c>
      <c r="B14">
        <v>0</v>
      </c>
      <c r="C14">
        <v>54</v>
      </c>
      <c r="D14">
        <v>47</v>
      </c>
      <c r="E14">
        <v>12</v>
      </c>
      <c r="M14" s="5" cm="1">
        <f ca="1" t="array" ref="M14">SQRT(SUMXMY2($B14:$E14,H$3:H$6))</f>
        <v>45.7697028611723</v>
      </c>
      <c r="N14" s="5" cm="1">
        <f ca="1" t="array" ref="N14">SQRT(SUMXMY2($B14:$E14,I$3:I$6))</f>
        <v>12.1480570156794</v>
      </c>
      <c r="O14" s="5" cm="1">
        <f ca="1" t="array" ref="O14">SQRT(SUMXMY2($B14:$E14,J$3:J$6))</f>
        <v>83.1894224045341</v>
      </c>
      <c r="P14" s="5" cm="1">
        <f ca="1" t="array" ref="P14">SQRT(SUMXMY2($B14:$E14,K$3:K$6))</f>
        <v>181.184481472698</v>
      </c>
      <c r="Q14" t="str">
        <f ca="1">INDEX($M$2:$P$2,1,MATCH(MIN(M14:P14),M14:P14,0))</f>
        <v>C2</v>
      </c>
      <c r="R14">
        <v>14</v>
      </c>
      <c r="S14" t="str">
        <f ca="1">INDIRECT($F$1&amp;"!Q"&amp;R14)</f>
        <v>C2</v>
      </c>
      <c r="T14">
        <f ca="1" t="shared" si="1"/>
        <v>0</v>
      </c>
    </row>
    <row r="15" spans="1:20">
      <c r="A15" t="s">
        <v>24</v>
      </c>
      <c r="B15">
        <v>10</v>
      </c>
      <c r="C15">
        <v>218</v>
      </c>
      <c r="D15">
        <v>79</v>
      </c>
      <c r="E15">
        <v>20</v>
      </c>
      <c r="M15" s="5" cm="1">
        <f ca="1" t="array" ref="M15">SQRT(SUMXMY2($B15:$E15,H$3:H$6))</f>
        <v>211.34130145336</v>
      </c>
      <c r="N15" s="5" cm="1">
        <f ca="1" t="array" ref="N15">SQRT(SUMXMY2($B15:$E15,I$3:I$6))</f>
        <v>162.511350143982</v>
      </c>
      <c r="O15" s="5" cm="1">
        <f ca="1" t="array" ref="O15">SQRT(SUMXMY2($B15:$E15,J$3:J$6))</f>
        <v>84.996941121431</v>
      </c>
      <c r="P15" s="5" cm="1">
        <f ca="1" t="array" ref="P15">SQRT(SUMXMY2($B15:$E15,K$3:K$6))</f>
        <v>23.7808875411516</v>
      </c>
      <c r="Q15" t="str">
        <f ca="1">INDEX($M$2:$P$2,1,MATCH(MIN(M15:P15),M15:P15,0))</f>
        <v>C4</v>
      </c>
      <c r="R15">
        <v>15</v>
      </c>
      <c r="S15" t="str">
        <f ca="1">INDIRECT($F$1&amp;"!Q"&amp;R15)</f>
        <v>C4</v>
      </c>
      <c r="T15">
        <f ca="1" t="shared" si="1"/>
        <v>0</v>
      </c>
    </row>
    <row r="16" spans="1:20">
      <c r="A16" t="s">
        <v>25</v>
      </c>
      <c r="B16">
        <v>7</v>
      </c>
      <c r="C16">
        <v>26</v>
      </c>
      <c r="D16">
        <v>65</v>
      </c>
      <c r="E16">
        <v>19</v>
      </c>
      <c r="M16" s="5" cm="1">
        <f ca="1" t="array" ref="M16">SQRT(SUMXMY2($B16:$E16,H$3:H$6))</f>
        <v>23.1940876086989</v>
      </c>
      <c r="N16" s="5" cm="1">
        <f ca="1" t="array" ref="N16">SQRT(SUMXMY2($B16:$E16,I$3:I$6))</f>
        <v>32.3530639013008</v>
      </c>
      <c r="O16" s="5" cm="1">
        <f ca="1" t="array" ref="O16">SQRT(SUMXMY2($B16:$E16,J$3:J$6))</f>
        <v>107.8409940607</v>
      </c>
      <c r="P16" s="5" cm="1">
        <f ca="1" t="array" ref="P16">SQRT(SUMXMY2($B16:$E16,K$3:K$6))</f>
        <v>207.776911368802</v>
      </c>
      <c r="Q16" t="str">
        <f ca="1">INDEX($M$2:$P$2,1,MATCH(MIN(M16:P16),M16:P16,0))</f>
        <v>C1</v>
      </c>
      <c r="R16">
        <v>16</v>
      </c>
      <c r="S16" t="str">
        <f ca="1">INDIRECT($F$1&amp;"!Q"&amp;R16)</f>
        <v>C1</v>
      </c>
      <c r="T16">
        <f ca="1" t="shared" si="1"/>
        <v>0</v>
      </c>
    </row>
    <row r="17" spans="1:20">
      <c r="A17" t="s">
        <v>26</v>
      </c>
      <c r="B17">
        <v>2</v>
      </c>
      <c r="C17">
        <v>0.1</v>
      </c>
      <c r="D17">
        <v>53</v>
      </c>
      <c r="E17">
        <v>9</v>
      </c>
      <c r="M17" s="5" cm="1">
        <f ca="1" t="array" ref="M17">SQRT(SUMXMY2($B17:$E17,H$3:H$6))</f>
        <v>8.83332893081651</v>
      </c>
      <c r="N17" s="5" cm="1">
        <f ca="1" t="array" ref="N17">SQRT(SUMXMY2($B17:$E17,I$3:I$6))</f>
        <v>57.566118650895</v>
      </c>
      <c r="O17" s="5" cm="1">
        <f ca="1" t="array" ref="O17">SQRT(SUMXMY2($B17:$E17,J$3:J$6))</f>
        <v>135.084899230077</v>
      </c>
      <c r="P17" s="5" cm="1">
        <f ca="1" t="array" ref="P17">SQRT(SUMXMY2($B17:$E17,K$3:K$6))</f>
        <v>234.52833648036</v>
      </c>
      <c r="Q17" t="str">
        <f ca="1">INDEX($M$2:$P$2,1,MATCH(MIN(M17:P17),M17:P17,0))</f>
        <v>C1</v>
      </c>
      <c r="R17">
        <v>17</v>
      </c>
      <c r="S17" t="str">
        <f ca="1">INDIRECT($F$1&amp;"!Q"&amp;R17)</f>
        <v>C1</v>
      </c>
      <c r="T17">
        <f ca="1" t="shared" si="1"/>
        <v>0</v>
      </c>
    </row>
    <row r="18" spans="1:20">
      <c r="A18" t="s">
        <v>27</v>
      </c>
      <c r="B18">
        <v>3</v>
      </c>
      <c r="C18">
        <v>80</v>
      </c>
      <c r="D18">
        <v>56</v>
      </c>
      <c r="E18">
        <v>16</v>
      </c>
      <c r="M18" s="5" cm="1">
        <f ca="1" t="array" ref="M18">SQRT(SUMXMY2($B18:$E18,H$3:H$6))</f>
        <v>71.6053468673953</v>
      </c>
      <c r="N18" s="5" cm="1">
        <f ca="1" t="array" ref="N18">SQRT(SUMXMY2($B18:$E18,I$3:I$6))</f>
        <v>22.987601760748</v>
      </c>
      <c r="O18" s="5" cm="1">
        <f ca="1" t="array" ref="O18">SQRT(SUMXMY2($B18:$E18,J$3:J$6))</f>
        <v>55.4046929420243</v>
      </c>
      <c r="P18" s="5" cm="1">
        <f ca="1" t="array" ref="P18">SQRT(SUMXMY2($B18:$E18,K$3:K$6))</f>
        <v>154.297816985629</v>
      </c>
      <c r="Q18" t="str">
        <f ca="1">INDEX($M$2:$P$2,1,MATCH(MIN(M18:P18),M18:P18,0))</f>
        <v>C2</v>
      </c>
      <c r="R18">
        <v>18</v>
      </c>
      <c r="S18" t="str">
        <f ca="1">INDIRECT($F$1&amp;"!Q"&amp;R18)</f>
        <v>C2</v>
      </c>
      <c r="T18">
        <f ca="1" t="shared" si="1"/>
        <v>0</v>
      </c>
    </row>
    <row r="19" spans="1:20">
      <c r="A19" t="s">
        <v>28</v>
      </c>
      <c r="B19">
        <v>7</v>
      </c>
      <c r="C19">
        <v>70</v>
      </c>
      <c r="D19">
        <v>43</v>
      </c>
      <c r="E19">
        <v>15</v>
      </c>
      <c r="M19" s="5" cm="1">
        <f ca="1" t="array" ref="M19">SQRT(SUMXMY2($B19:$E19,H$3:H$6))</f>
        <v>62.3990841278941</v>
      </c>
      <c r="N19" s="5" cm="1">
        <f ca="1" t="array" ref="N19">SQRT(SUMXMY2($B19:$E19,I$3:I$6))</f>
        <v>20.0588411289889</v>
      </c>
      <c r="O19" s="5" cm="1">
        <f ca="1" t="array" ref="O19">SQRT(SUMXMY2($B19:$E19,J$3:J$6))</f>
        <v>68.5804636904709</v>
      </c>
      <c r="P19" s="5" cm="1">
        <f ca="1" t="array" ref="P19">SQRT(SUMXMY2($B19:$E19,K$3:K$6))</f>
        <v>165.228289814735</v>
      </c>
      <c r="Q19" t="str">
        <f ca="1">INDEX($M$2:$P$2,1,MATCH(MIN(M19:P19),M19:P19,0))</f>
        <v>C2</v>
      </c>
      <c r="R19">
        <v>19</v>
      </c>
      <c r="S19" t="str">
        <f ca="1">INDIRECT($F$1&amp;"!Q"&amp;R19)</f>
        <v>C2</v>
      </c>
      <c r="T19">
        <f ca="1" t="shared" si="1"/>
        <v>0</v>
      </c>
    </row>
    <row r="20" spans="1:20">
      <c r="A20" t="s">
        <v>29</v>
      </c>
      <c r="B20">
        <v>15</v>
      </c>
      <c r="C20">
        <v>159</v>
      </c>
      <c r="D20">
        <v>61</v>
      </c>
      <c r="E20">
        <v>19</v>
      </c>
      <c r="M20" s="5" cm="1">
        <f ca="1" t="array" ref="M20">SQRT(SUMXMY2($B20:$E20,H$3:H$6))</f>
        <v>151.329328618084</v>
      </c>
      <c r="N20" s="5" cm="1">
        <f ca="1" t="array" ref="N20">SQRT(SUMXMY2($B20:$E20,I$3:I$6))</f>
        <v>102.722631029486</v>
      </c>
      <c r="O20" s="5" cm="1">
        <f ca="1" t="array" ref="O20">SQRT(SUMXMY2($B20:$E20,J$3:J$6))</f>
        <v>27.0532807622292</v>
      </c>
      <c r="P20" s="5" cm="1">
        <f ca="1" t="array" ref="P20">SQRT(SUMXMY2($B20:$E20,K$3:K$6))</f>
        <v>75.1947132314446</v>
      </c>
      <c r="Q20" t="str">
        <f ca="1">INDEX($M$2:$P$2,1,MATCH(MIN(M20:P20),M20:P20,0))</f>
        <v>C3</v>
      </c>
      <c r="R20">
        <v>20</v>
      </c>
      <c r="S20" t="str">
        <f ca="1">INDIRECT($F$1&amp;"!Q"&amp;R20)</f>
        <v>C3</v>
      </c>
      <c r="T20">
        <f ca="1" t="shared" si="1"/>
        <v>0</v>
      </c>
    </row>
    <row r="21" spans="1:20">
      <c r="A21" t="s">
        <v>30</v>
      </c>
      <c r="B21">
        <v>1</v>
      </c>
      <c r="C21">
        <v>0.1</v>
      </c>
      <c r="D21">
        <v>45</v>
      </c>
      <c r="E21">
        <v>7</v>
      </c>
      <c r="M21" s="5" cm="1">
        <f ca="1" t="array" ref="M21">SQRT(SUMXMY2($B21:$E21,H$3:H$6))</f>
        <v>12.2493959034721</v>
      </c>
      <c r="N21" s="5" cm="1">
        <f ca="1" t="array" ref="N21">SQRT(SUMXMY2($B21:$E21,I$3:I$6))</f>
        <v>59.0574744571438</v>
      </c>
      <c r="O21" s="5" cm="1">
        <f ca="1" t="array" ref="O21">SQRT(SUMXMY2($B21:$E21,J$3:J$6))</f>
        <v>136.407221216474</v>
      </c>
      <c r="P21" s="5" cm="1">
        <f ca="1" t="array" ref="P21">SQRT(SUMXMY2($B21:$E21,K$3:K$6))</f>
        <v>235.192257004992</v>
      </c>
      <c r="Q21" t="str">
        <f ca="1">INDEX($M$2:$P$2,1,MATCH(MIN(M21:P21),M21:P21,0))</f>
        <v>C1</v>
      </c>
      <c r="R21">
        <v>21</v>
      </c>
      <c r="S21" t="str">
        <f ca="1">INDIRECT($F$1&amp;"!Q"&amp;R21)</f>
        <v>C1</v>
      </c>
      <c r="T21">
        <f ca="1" t="shared" si="1"/>
        <v>0</v>
      </c>
    </row>
    <row r="22" spans="1:20">
      <c r="A22" t="s">
        <v>31</v>
      </c>
      <c r="B22">
        <v>10</v>
      </c>
      <c r="C22">
        <v>260</v>
      </c>
      <c r="D22">
        <v>63</v>
      </c>
      <c r="E22">
        <v>28</v>
      </c>
      <c r="M22" s="5" cm="1">
        <f ca="1" t="array" ref="M22">SQRT(SUMXMY2($B22:$E22,H$3:H$6))</f>
        <v>252.252622781211</v>
      </c>
      <c r="N22" s="5" cm="1">
        <f ca="1" t="array" ref="N22">SQRT(SUMXMY2($B22:$E22,I$3:I$6))</f>
        <v>203.48270602902</v>
      </c>
      <c r="O22" s="5" cm="1">
        <f ca="1" t="array" ref="O22">SQRT(SUMXMY2($B22:$E22,J$3:J$6))</f>
        <v>126.543589327947</v>
      </c>
      <c r="P22" s="5" cm="1">
        <f ca="1" t="array" ref="P22">SQRT(SUMXMY2($B22:$E22,K$3:K$6))</f>
        <v>26.4432391729754</v>
      </c>
      <c r="Q22" t="str">
        <f ca="1">INDEX($M$2:$P$2,1,MATCH(MIN(M22:P22),M22:P22,0))</f>
        <v>C4</v>
      </c>
      <c r="R22">
        <v>22</v>
      </c>
      <c r="S22" t="str">
        <f ca="1">INDIRECT($F$1&amp;"!Q"&amp;R22)</f>
        <v>C4</v>
      </c>
      <c r="T22">
        <f ca="1" t="shared" si="1"/>
        <v>0</v>
      </c>
    </row>
    <row r="23" spans="1:20">
      <c r="A23" t="s">
        <v>32</v>
      </c>
      <c r="B23">
        <v>2</v>
      </c>
      <c r="C23">
        <v>138</v>
      </c>
      <c r="D23">
        <v>82</v>
      </c>
      <c r="E23">
        <v>13</v>
      </c>
      <c r="M23" s="5" cm="1">
        <f ca="1" t="array" ref="M23">SQRT(SUMXMY2($B23:$E23,H$3:H$6))</f>
        <v>132.671420057223</v>
      </c>
      <c r="N23" s="5" cm="1">
        <f ca="1" t="array" ref="N23">SQRT(SUMXMY2($B23:$E23,I$3:I$6))</f>
        <v>84.4871847096664</v>
      </c>
      <c r="O23" s="5" cm="1">
        <f ca="1" t="array" ref="O23">SQRT(SUMXMY2($B23:$E23,J$3:J$6))</f>
        <v>17.6204426732134</v>
      </c>
      <c r="P23" s="5" cm="1">
        <f ca="1" t="array" ref="P23">SQRT(SUMXMY2($B23:$E23,K$3:K$6))</f>
        <v>98.9146199548698</v>
      </c>
      <c r="Q23" t="str">
        <f ca="1">INDEX($M$2:$P$2,1,MATCH(MIN(M23:P23),M23:P23,0))</f>
        <v>C3</v>
      </c>
      <c r="R23">
        <v>23</v>
      </c>
      <c r="S23" t="str">
        <f ca="1">INDIRECT($F$1&amp;"!Q"&amp;R23)</f>
        <v>C3</v>
      </c>
      <c r="T23">
        <f ca="1" t="shared" si="1"/>
        <v>0</v>
      </c>
    </row>
    <row r="24" spans="1:20">
      <c r="A24" t="s">
        <v>33</v>
      </c>
      <c r="B24">
        <v>11</v>
      </c>
      <c r="C24">
        <v>251</v>
      </c>
      <c r="D24">
        <v>68</v>
      </c>
      <c r="E24">
        <v>35</v>
      </c>
      <c r="M24" s="5" cm="1">
        <f ca="1" t="array" ref="M24">SQRT(SUMXMY2($B24:$E24,H$3:H$6))</f>
        <v>244.166921797364</v>
      </c>
      <c r="N24" s="5" cm="1">
        <f ca="1" t="array" ref="N24">SQRT(SUMXMY2($B24:$E24,I$3:I$6))</f>
        <v>195.320977829227</v>
      </c>
      <c r="O24" s="5" cm="1">
        <f ca="1" t="array" ref="O24">SQRT(SUMXMY2($B24:$E24,J$3:J$6))</f>
        <v>118.174785804756</v>
      </c>
      <c r="P24" s="5" cm="1">
        <f ca="1" t="array" ref="P24">SQRT(SUMXMY2($B24:$E24,K$3:K$6))</f>
        <v>19.8304033735873</v>
      </c>
      <c r="Q24" t="str">
        <f ca="1">INDEX($M$2:$P$2,1,MATCH(MIN(M24:P24),M24:P24,0))</f>
        <v>C4</v>
      </c>
      <c r="R24">
        <v>24</v>
      </c>
      <c r="S24" t="str">
        <f ca="1">INDIRECT($F$1&amp;"!Q"&amp;R24)</f>
        <v>C4</v>
      </c>
      <c r="T24">
        <f ca="1" t="shared" si="1"/>
        <v>0</v>
      </c>
    </row>
    <row r="25" spans="1:20">
      <c r="A25" t="s">
        <v>34</v>
      </c>
      <c r="B25">
        <v>1</v>
      </c>
      <c r="C25">
        <v>3</v>
      </c>
      <c r="D25">
        <v>62</v>
      </c>
      <c r="E25">
        <v>14</v>
      </c>
      <c r="M25" s="5" cm="1">
        <f ca="1" t="array" ref="M25">SQRT(SUMXMY2($B25:$E25,H$3:H$6))</f>
        <v>11.3897190483348</v>
      </c>
      <c r="N25" s="5" cm="1">
        <f ca="1" t="array" ref="N25">SQRT(SUMXMY2($B25:$E25,I$3:I$6))</f>
        <v>54.3089881911559</v>
      </c>
      <c r="O25" s="5" cm="1">
        <f ca="1" t="array" ref="O25">SQRT(SUMXMY2($B25:$E25,J$3:J$6))</f>
        <v>131.242828375496</v>
      </c>
      <c r="P25" s="5" cm="1">
        <f ca="1" t="array" ref="P25">SQRT(SUMXMY2($B25:$E25,K$3:K$6))</f>
        <v>231.141179580704</v>
      </c>
      <c r="Q25" t="str">
        <f ca="1">INDEX($M$2:$P$2,1,MATCH(MIN(M25:P25),M25:P25,0))</f>
        <v>C1</v>
      </c>
      <c r="R25">
        <v>25</v>
      </c>
      <c r="S25" t="str">
        <f ca="1">INDIRECT($F$1&amp;"!Q"&amp;R25)</f>
        <v>C1</v>
      </c>
      <c r="T25">
        <f ca="1" t="shared" si="1"/>
        <v>0</v>
      </c>
    </row>
    <row r="26" spans="1:20">
      <c r="A26" t="s">
        <v>35</v>
      </c>
      <c r="B26">
        <v>13</v>
      </c>
      <c r="C26">
        <v>209</v>
      </c>
      <c r="D26">
        <v>44</v>
      </c>
      <c r="E26">
        <v>13</v>
      </c>
      <c r="M26" s="5" cm="1">
        <f ca="1" t="array" ref="M26">SQRT(SUMXMY2($B26:$E26,H$3:H$6))</f>
        <v>200.83726173198</v>
      </c>
      <c r="N26" s="5" cm="1">
        <f ca="1" t="array" ref="N26">SQRT(SUMXMY2($B26:$E26,I$3:I$6))</f>
        <v>152.882821492272</v>
      </c>
      <c r="O26" s="5" cm="1">
        <f ca="1" t="array" ref="O26">SQRT(SUMXMY2($B26:$E26,J$3:J$6))</f>
        <v>79.3150679253318</v>
      </c>
      <c r="P26" s="5" cm="1">
        <f ca="1" t="array" ref="P26">SQRT(SUMXMY2($B26:$E26,K$3:K$6))</f>
        <v>34.0602707096747</v>
      </c>
      <c r="Q26" t="str">
        <f ca="1">INDEX($M$2:$P$2,1,MATCH(MIN(M26:P26),M26:P26,0))</f>
        <v>C4</v>
      </c>
      <c r="R26">
        <v>26</v>
      </c>
      <c r="S26" t="str">
        <f ca="1">INDIRECT($F$1&amp;"!Q"&amp;R26)</f>
        <v>C4</v>
      </c>
      <c r="T26">
        <f ca="1" t="shared" si="1"/>
        <v>0</v>
      </c>
    </row>
    <row r="27" spans="1:20">
      <c r="A27" t="s">
        <v>36</v>
      </c>
      <c r="B27">
        <v>8</v>
      </c>
      <c r="C27">
        <v>80</v>
      </c>
      <c r="D27">
        <v>61</v>
      </c>
      <c r="E27">
        <v>28</v>
      </c>
      <c r="M27" s="5" cm="1">
        <f ca="1" t="array" ref="M27">SQRT(SUMXMY2($B27:$E27,H$3:H$6))</f>
        <v>74.0096324811845</v>
      </c>
      <c r="N27" s="5" cm="1">
        <f ca="1" t="array" ref="N27">SQRT(SUMXMY2($B27:$E27,I$3:I$6))</f>
        <v>26.7814864510715</v>
      </c>
      <c r="O27" s="5" cm="1">
        <f ca="1" t="array" ref="O27">SQRT(SUMXMY2($B27:$E27,J$3:J$6))</f>
        <v>54.7620306416773</v>
      </c>
      <c r="P27" s="5" cm="1">
        <f ca="1" t="array" ref="P27">SQRT(SUMXMY2($B27:$E27,K$3:K$6))</f>
        <v>153.598137212344</v>
      </c>
      <c r="Q27" t="str">
        <f ca="1">INDEX($M$2:$P$2,1,MATCH(MIN(M27:P27),M27:P27,0))</f>
        <v>C2</v>
      </c>
      <c r="R27">
        <v>27</v>
      </c>
      <c r="S27" t="str">
        <f ca="1">INDIRECT($F$1&amp;"!Q"&amp;R27)</f>
        <v>C2</v>
      </c>
      <c r="T27">
        <f ca="1" t="shared" si="1"/>
        <v>0</v>
      </c>
    </row>
    <row r="28" spans="1:20">
      <c r="A28" t="s">
        <v>37</v>
      </c>
      <c r="B28">
        <v>5</v>
      </c>
      <c r="C28">
        <v>19</v>
      </c>
      <c r="D28">
        <v>45</v>
      </c>
      <c r="E28">
        <v>15</v>
      </c>
      <c r="M28" s="5" cm="1">
        <f ca="1" t="array" ref="M28">SQRT(SUMXMY2($B28:$E28,H$3:H$6))</f>
        <v>13.6662247896045</v>
      </c>
      <c r="N28" s="5" cm="1">
        <f ca="1" t="array" ref="N28">SQRT(SUMXMY2($B28:$E28,I$3:I$6))</f>
        <v>40.2416882234627</v>
      </c>
      <c r="O28" s="5" cm="1">
        <f ca="1" t="array" ref="O28">SQRT(SUMXMY2($B28:$E28,J$3:J$6))</f>
        <v>117.15237940392</v>
      </c>
      <c r="P28" s="5" cm="1">
        <f ca="1" t="array" ref="P28">SQRT(SUMXMY2($B28:$E28,K$3:K$6))</f>
        <v>215.704730157326</v>
      </c>
      <c r="Q28" t="str">
        <f ca="1">INDEX($M$2:$P$2,1,MATCH(MIN(M28:P28),M28:P28,0))</f>
        <v>C1</v>
      </c>
      <c r="R28">
        <v>28</v>
      </c>
      <c r="S28" t="str">
        <f ca="1">INDIRECT($F$1&amp;"!Q"&amp;R28)</f>
        <v>C1</v>
      </c>
      <c r="T28">
        <f ca="1" t="shared" si="1"/>
        <v>0</v>
      </c>
    </row>
    <row r="29" spans="1:20">
      <c r="A29" t="s">
        <v>38</v>
      </c>
      <c r="B29">
        <v>4</v>
      </c>
      <c r="C29">
        <v>10</v>
      </c>
      <c r="D29">
        <v>56</v>
      </c>
      <c r="E29">
        <v>13</v>
      </c>
      <c r="M29" s="5" cm="1">
        <f ca="1" t="array" ref="M29">SQRT(SUMXMY2($B29:$E29,H$3:H$6))</f>
        <v>4.41652578391658</v>
      </c>
      <c r="N29" s="5" cm="1">
        <f ca="1" t="array" ref="N29">SQRT(SUMXMY2($B29:$E29,I$3:I$6))</f>
        <v>47.2002775240475</v>
      </c>
      <c r="O29" s="5" cm="1">
        <f ca="1" t="array" ref="O29">SQRT(SUMXMY2($B29:$E29,J$3:J$6))</f>
        <v>124.608506932713</v>
      </c>
      <c r="P29" s="5" cm="1">
        <f ca="1" t="array" ref="P29">SQRT(SUMXMY2($B29:$E29,K$3:K$6))</f>
        <v>224.211862272435</v>
      </c>
      <c r="Q29" t="str">
        <f ca="1">INDEX($M$2:$P$2,1,MATCH(MIN(M29:P29),M29:P29,0))</f>
        <v>C1</v>
      </c>
      <c r="R29">
        <v>29</v>
      </c>
      <c r="S29" t="str">
        <f ca="1">INDIRECT($F$1&amp;"!Q"&amp;R29)</f>
        <v>C1</v>
      </c>
      <c r="T29">
        <f ca="1" t="shared" si="1"/>
        <v>0</v>
      </c>
    </row>
    <row r="30" spans="1:20">
      <c r="A30" t="s">
        <v>39</v>
      </c>
      <c r="B30">
        <v>11</v>
      </c>
      <c r="C30">
        <v>239</v>
      </c>
      <c r="D30">
        <v>75</v>
      </c>
      <c r="E30">
        <v>43</v>
      </c>
      <c r="M30" s="5" cm="1">
        <f ca="1" t="array" ref="M30">SQRT(SUMXMY2($B30:$E30,H$3:H$6))</f>
        <v>233.782475177247</v>
      </c>
      <c r="N30" s="5" cm="1">
        <f ca="1" t="array" ref="N30">SQRT(SUMXMY2($B30:$E30,I$3:I$6))</f>
        <v>184.956045928809</v>
      </c>
      <c r="O30" s="5" cm="1">
        <f ca="1" t="array" ref="O30">SQRT(SUMXMY2($B30:$E30,J$3:J$6))</f>
        <v>107.943874305122</v>
      </c>
      <c r="P30" s="5" cm="1">
        <f ca="1" t="array" ref="P30">SQRT(SUMXMY2($B30:$E30,K$3:K$6))</f>
        <v>20.7698761455633</v>
      </c>
      <c r="Q30" t="str">
        <f ca="1">INDEX($M$2:$P$2,1,MATCH(MIN(M30:P30),M30:P30,0))</f>
        <v>C4</v>
      </c>
      <c r="R30">
        <v>30</v>
      </c>
      <c r="S30" t="str">
        <f ca="1">INDIRECT($F$1&amp;"!Q"&amp;R30)</f>
        <v>C4</v>
      </c>
      <c r="T30">
        <f ca="1" t="shared" si="1"/>
        <v>0</v>
      </c>
    </row>
    <row r="31" spans="1:20">
      <c r="A31" t="s">
        <v>40</v>
      </c>
      <c r="B31">
        <v>0</v>
      </c>
      <c r="C31">
        <v>0.1</v>
      </c>
      <c r="D31">
        <v>53</v>
      </c>
      <c r="E31">
        <v>6</v>
      </c>
      <c r="M31" s="5" cm="1">
        <f ca="1" t="array" ref="M31">SQRT(SUMXMY2($B31:$E31,H$3:H$6))</f>
        <v>10.2697468323226</v>
      </c>
      <c r="N31" s="5" cm="1">
        <f ca="1" t="array" ref="N31">SQRT(SUMXMY2($B31:$E31,I$3:I$6))</f>
        <v>58.0484422951431</v>
      </c>
      <c r="O31" s="5" cm="1">
        <f ca="1" t="array" ref="O31">SQRT(SUMXMY2($B31:$E31,J$3:J$6))</f>
        <v>135.46708087207</v>
      </c>
      <c r="P31" s="5" cm="1">
        <f ca="1" t="array" ref="P31">SQRT(SUMXMY2($B31:$E31,K$3:K$6))</f>
        <v>234.860379279056</v>
      </c>
      <c r="Q31" t="str">
        <f ca="1">INDEX($M$2:$P$2,1,MATCH(MIN(M31:P31),M31:P31,0))</f>
        <v>C1</v>
      </c>
      <c r="R31">
        <v>31</v>
      </c>
      <c r="S31" t="str">
        <f ca="1">INDIRECT($F$1&amp;"!Q"&amp;R31)</f>
        <v>C1</v>
      </c>
      <c r="T31">
        <f ca="1" t="shared" si="1"/>
        <v>0</v>
      </c>
    </row>
    <row r="32" spans="1:20">
      <c r="A32" t="s">
        <v>41</v>
      </c>
      <c r="B32">
        <v>5</v>
      </c>
      <c r="C32">
        <v>155</v>
      </c>
      <c r="D32">
        <v>87</v>
      </c>
      <c r="E32">
        <v>19</v>
      </c>
      <c r="M32" s="5" cm="1">
        <f ca="1" t="array" ref="M32">SQRT(SUMXMY2($B32:$E32,H$3:H$6))</f>
        <v>150.574518760646</v>
      </c>
      <c r="N32" s="5" cm="1">
        <f ca="1" t="array" ref="N32">SQRT(SUMXMY2($B32:$E32,I$3:I$6))</f>
        <v>102.24628385415</v>
      </c>
      <c r="O32" s="5" cm="1">
        <f ca="1" t="array" ref="O32">SQRT(SUMXMY2($B32:$E32,J$3:J$6))</f>
        <v>28.8977507775259</v>
      </c>
      <c r="P32" s="5" cm="1">
        <f ca="1" t="array" ref="P32">SQRT(SUMXMY2($B32:$E32,K$3:K$6))</f>
        <v>82.8662556565132</v>
      </c>
      <c r="Q32" t="str">
        <f ca="1">INDEX($M$2:$P$2,1,MATCH(MIN(M32:P32),M32:P32,0))</f>
        <v>C3</v>
      </c>
      <c r="R32">
        <v>32</v>
      </c>
      <c r="S32" t="str">
        <f ca="1">INDIRECT($F$1&amp;"!Q"&amp;R32)</f>
        <v>C3</v>
      </c>
      <c r="T32">
        <f ca="1" t="shared" si="1"/>
        <v>0</v>
      </c>
    </row>
    <row r="33" spans="1:20">
      <c r="A33" t="s">
        <v>42</v>
      </c>
      <c r="B33">
        <v>12</v>
      </c>
      <c r="C33">
        <v>229</v>
      </c>
      <c r="D33">
        <v>64</v>
      </c>
      <c r="E33">
        <v>32</v>
      </c>
      <c r="M33" s="5" cm="1">
        <f ca="1" t="array" ref="M33">SQRT(SUMXMY2($B33:$E33,H$3:H$6))</f>
        <v>221.844598086138</v>
      </c>
      <c r="N33" s="5" cm="1">
        <f ca="1" t="array" ref="N33">SQRT(SUMXMY2($B33:$E33,I$3:I$6))</f>
        <v>173.047793761203</v>
      </c>
      <c r="O33" s="5" cm="1">
        <f ca="1" t="array" ref="O33">SQRT(SUMXMY2($B33:$E33,J$3:J$6))</f>
        <v>96.0878764465112</v>
      </c>
      <c r="P33" s="5" cm="1">
        <f ca="1" t="array" ref="P33">SQRT(SUMXMY2($B33:$E33,K$3:K$6))</f>
        <v>6.9355634822505</v>
      </c>
      <c r="Q33" t="str">
        <f ca="1">INDEX($M$2:$P$2,1,MATCH(MIN(M33:P33),M33:P33,0))</f>
        <v>C4</v>
      </c>
      <c r="R33">
        <v>33</v>
      </c>
      <c r="S33" t="str">
        <f ca="1">INDIRECT($F$1&amp;"!Q"&amp;R33)</f>
        <v>C4</v>
      </c>
      <c r="T33">
        <f ca="1" t="shared" si="1"/>
        <v>0</v>
      </c>
    </row>
    <row r="34" spans="1:20">
      <c r="A34" t="s">
        <v>43</v>
      </c>
      <c r="B34">
        <v>9</v>
      </c>
      <c r="C34">
        <v>161</v>
      </c>
      <c r="D34">
        <v>85</v>
      </c>
      <c r="E34">
        <v>23</v>
      </c>
      <c r="M34" s="5" cm="1">
        <f ca="1" t="array" ref="M34">SQRT(SUMXMY2($B34:$E34,H$3:H$6))</f>
        <v>156.356406008836</v>
      </c>
      <c r="N34" s="5" cm="1">
        <f ca="1" t="array" ref="N34">SQRT(SUMXMY2($B34:$E34,I$3:I$6))</f>
        <v>107.836799327763</v>
      </c>
      <c r="O34" s="5" cm="1">
        <f ca="1" t="array" ref="O34">SQRT(SUMXMY2($B34:$E34,J$3:J$6))</f>
        <v>32.4326995484495</v>
      </c>
      <c r="P34" s="5" cm="1">
        <f ca="1" t="array" ref="P34">SQRT(SUMXMY2($B34:$E34,K$3:K$6))</f>
        <v>76.0899038597616</v>
      </c>
      <c r="Q34" t="str">
        <f ca="1">INDEX($M$2:$P$2,1,MATCH(MIN(M34:P34),M34:P34,0))</f>
        <v>C3</v>
      </c>
      <c r="R34">
        <v>34</v>
      </c>
      <c r="S34" t="str">
        <f ca="1">INDIRECT($F$1&amp;"!Q"&amp;R34)</f>
        <v>C3</v>
      </c>
      <c r="T34">
        <f ca="1" t="shared" si="1"/>
        <v>0</v>
      </c>
    </row>
    <row r="35" spans="1:20">
      <c r="A35" t="s">
        <v>44</v>
      </c>
      <c r="B35">
        <v>13</v>
      </c>
      <c r="C35">
        <v>321</v>
      </c>
      <c r="D35">
        <v>45</v>
      </c>
      <c r="E35">
        <v>13</v>
      </c>
      <c r="M35" s="5" cm="1">
        <f ca="1" t="array" ref="M35">SQRT(SUMXMY2($B35:$E35,H$3:H$6))</f>
        <v>312.640441561868</v>
      </c>
      <c r="N35" s="5" cm="1">
        <f ca="1" t="array" ref="N35">SQRT(SUMXMY2($B35:$E35,I$3:I$6))</f>
        <v>264.420417342228</v>
      </c>
      <c r="O35" s="5" cm="1">
        <f ca="1" t="array" ref="O35">SQRT(SUMXMY2($B35:$E35,J$3:J$6))</f>
        <v>188.768323613894</v>
      </c>
      <c r="P35" s="5" cm="1">
        <f ca="1" t="array" ref="P35">SQRT(SUMXMY2($B35:$E35,K$3:K$6))</f>
        <v>90.3546301175179</v>
      </c>
      <c r="Q35" t="str">
        <f ca="1">INDEX($M$2:$P$2,1,MATCH(MIN(M35:P35),M35:P35,0))</f>
        <v>C4</v>
      </c>
      <c r="R35">
        <v>35</v>
      </c>
      <c r="S35" t="str">
        <f ca="1">INDIRECT($F$1&amp;"!Q"&amp;R35)</f>
        <v>C4</v>
      </c>
      <c r="T35">
        <f ca="1" t="shared" si="1"/>
        <v>0</v>
      </c>
    </row>
    <row r="36" spans="1:20">
      <c r="A36" t="s">
        <v>45</v>
      </c>
      <c r="B36">
        <v>0.1</v>
      </c>
      <c r="C36">
        <v>27</v>
      </c>
      <c r="D36">
        <v>44</v>
      </c>
      <c r="E36">
        <v>6</v>
      </c>
      <c r="M36" s="5" cm="1">
        <f ca="1" t="array" ref="M36">SQRT(SUMXMY2($B36:$E36,H$3:H$6))</f>
        <v>21.0469403952213</v>
      </c>
      <c r="N36" s="5" cm="1">
        <f ca="1" t="array" ref="N36">SQRT(SUMXMY2($B36:$E36,I$3:I$6))</f>
        <v>34.5580120716905</v>
      </c>
      <c r="O36" s="5" cm="1">
        <f ca="1" t="array" ref="O36">SQRT(SUMXMY2($B36:$E36,J$3:J$6))</f>
        <v>110.562787591486</v>
      </c>
      <c r="P36" s="5" cm="1">
        <f ca="1" t="array" ref="P36">SQRT(SUMXMY2($B36:$E36,K$3:K$6))</f>
        <v>208.742624946099</v>
      </c>
      <c r="Q36" t="str">
        <f ca="1">INDEX($M$2:$P$2,1,MATCH(MIN(M36:P36),M36:P36,0))</f>
        <v>C1</v>
      </c>
      <c r="R36">
        <v>36</v>
      </c>
      <c r="S36" t="str">
        <f ca="1">INDIRECT($F$1&amp;"!Q"&amp;R36)</f>
        <v>C1</v>
      </c>
      <c r="T36">
        <f ca="1" t="shared" si="1"/>
        <v>0</v>
      </c>
    </row>
    <row r="37" spans="1:20">
      <c r="A37" t="s">
        <v>46</v>
      </c>
      <c r="B37">
        <v>8</v>
      </c>
      <c r="C37">
        <v>119</v>
      </c>
      <c r="D37">
        <v>73</v>
      </c>
      <c r="E37">
        <v>18</v>
      </c>
      <c r="M37" s="5" cm="1">
        <f ca="1" t="array" ref="M37">SQRT(SUMXMY2($B37:$E37,H$3:H$6))</f>
        <v>112.579330696181</v>
      </c>
      <c r="N37" s="5" cm="1">
        <f ca="1" t="array" ref="N37">SQRT(SUMXMY2($B37:$E37,I$3:I$6))</f>
        <v>63.98915261896</v>
      </c>
      <c r="O37" s="5" cm="1">
        <f ca="1" t="array" ref="O37">SQRT(SUMXMY2($B37:$E37,J$3:J$6))</f>
        <v>15.9084883002754</v>
      </c>
      <c r="P37" s="5" cm="1">
        <f ca="1" t="array" ref="P37">SQRT(SUMXMY2($B37:$E37,K$3:K$6))</f>
        <v>115.441830921597</v>
      </c>
      <c r="Q37" t="str">
        <f ca="1">INDEX($M$2:$P$2,1,MATCH(MIN(M37:P37),M37:P37,0))</f>
        <v>C3</v>
      </c>
      <c r="R37">
        <v>37</v>
      </c>
      <c r="S37" t="str">
        <f ca="1">INDIRECT($F$1&amp;"!Q"&amp;R37)</f>
        <v>C3</v>
      </c>
      <c r="T37">
        <f ca="1" t="shared" si="1"/>
        <v>0</v>
      </c>
    </row>
    <row r="38" spans="1:20">
      <c r="A38" t="s">
        <v>47</v>
      </c>
      <c r="B38">
        <v>4</v>
      </c>
      <c r="C38">
        <v>116</v>
      </c>
      <c r="D38">
        <v>59</v>
      </c>
      <c r="E38">
        <v>20</v>
      </c>
      <c r="M38" s="5" cm="1">
        <f ca="1" t="array" ref="M38">SQRT(SUMXMY2($B38:$E38,H$3:H$6))</f>
        <v>107.923239851294</v>
      </c>
      <c r="N38" s="5" cm="1">
        <f ca="1" t="array" ref="N38">SQRT(SUMXMY2($B38:$E38,I$3:I$6))</f>
        <v>59.1043208555995</v>
      </c>
      <c r="O38" s="5" cm="1">
        <f ca="1" t="array" ref="O38">SQRT(SUMXMY2($B38:$E38,J$3:J$6))</f>
        <v>20.1315672514586</v>
      </c>
      <c r="P38" s="5" cm="1">
        <f ca="1" t="array" ref="P38">SQRT(SUMXMY2($B38:$E38,K$3:K$6))</f>
        <v>118.018590718166</v>
      </c>
      <c r="Q38" t="str">
        <f ca="1">INDEX($M$2:$P$2,1,MATCH(MIN(M38:P38),M38:P38,0))</f>
        <v>C3</v>
      </c>
      <c r="R38">
        <v>38</v>
      </c>
      <c r="S38" t="str">
        <f ca="1">INDIRECT($F$1&amp;"!Q"&amp;R38)</f>
        <v>C3</v>
      </c>
      <c r="T38">
        <f ca="1" t="shared" si="1"/>
        <v>0</v>
      </c>
    </row>
    <row r="39" spans="1:20">
      <c r="A39" t="s">
        <v>48</v>
      </c>
      <c r="B39">
        <v>4</v>
      </c>
      <c r="C39">
        <v>103</v>
      </c>
      <c r="D39">
        <v>58</v>
      </c>
      <c r="E39">
        <v>29</v>
      </c>
      <c r="M39" s="5" cm="1">
        <f ca="1" t="array" ref="M39">SQRT(SUMXMY2($B39:$E39,H$3:H$6))</f>
        <v>96.1907776244688</v>
      </c>
      <c r="N39" s="5" cm="1">
        <f ca="1" t="array" ref="N39">SQRT(SUMXMY2($B39:$E39,I$3:I$6))</f>
        <v>47.8762877176148</v>
      </c>
      <c r="O39" s="5" cm="1">
        <f ca="1" t="array" ref="O39">SQRT(SUMXMY2($B39:$E39,J$3:J$6))</f>
        <v>33.6553116164447</v>
      </c>
      <c r="P39" s="5" cm="1">
        <f ca="1" t="array" ref="P39">SQRT(SUMXMY2($B39:$E39,K$3:K$6))</f>
        <v>130.813779465159</v>
      </c>
      <c r="Q39" t="str">
        <f ca="1">INDEX($M$2:$P$2,1,MATCH(MIN(M39:P39),M39:P39,0))</f>
        <v>C3</v>
      </c>
      <c r="R39">
        <v>39</v>
      </c>
      <c r="S39" t="str">
        <f ca="1">INDIRECT($F$1&amp;"!Q"&amp;R39)</f>
        <v>C3</v>
      </c>
      <c r="T39">
        <f ca="1" t="shared" si="1"/>
        <v>0</v>
      </c>
    </row>
    <row r="40" spans="1:20">
      <c r="A40" t="s">
        <v>49</v>
      </c>
      <c r="B40">
        <v>4</v>
      </c>
      <c r="C40">
        <v>57</v>
      </c>
      <c r="D40">
        <v>67</v>
      </c>
      <c r="E40">
        <v>13</v>
      </c>
      <c r="M40" s="5" cm="1">
        <f ca="1" t="array" ref="M40">SQRT(SUMXMY2($B40:$E40,H$3:H$6))</f>
        <v>50.5187658202375</v>
      </c>
      <c r="N40" s="5" cm="1">
        <f ca="1" t="array" ref="N40">SQRT(SUMXMY2($B40:$E40,I$3:I$6))</f>
        <v>9.55618876967449</v>
      </c>
      <c r="O40" s="5" cm="1">
        <f ca="1" t="array" ref="O40">SQRT(SUMXMY2($B40:$E40,J$3:J$6))</f>
        <v>77.2326355888494</v>
      </c>
      <c r="P40" s="5" cm="1">
        <f ca="1" t="array" ref="P40">SQRT(SUMXMY2($B40:$E40,K$3:K$6))</f>
        <v>177.315181158827</v>
      </c>
      <c r="Q40" t="str">
        <f ca="1">INDEX($M$2:$P$2,1,MATCH(MIN(M40:P40),M40:P40,0))</f>
        <v>C2</v>
      </c>
      <c r="R40">
        <v>40</v>
      </c>
      <c r="S40" t="str">
        <f ca="1">INDIRECT($F$1&amp;"!Q"&amp;R40)</f>
        <v>C2</v>
      </c>
      <c r="T40">
        <f ca="1" t="shared" si="1"/>
        <v>0</v>
      </c>
    </row>
    <row r="41" spans="1:20">
      <c r="A41" t="s">
        <v>50</v>
      </c>
      <c r="B41">
        <v>2</v>
      </c>
      <c r="C41">
        <v>97</v>
      </c>
      <c r="D41">
        <v>83</v>
      </c>
      <c r="E41">
        <v>5</v>
      </c>
      <c r="M41" s="5" cm="1">
        <f ca="1" t="array" ref="M41">SQRT(SUMXMY2($B41:$E41,H$3:H$6))</f>
        <v>93.6492696180809</v>
      </c>
      <c r="N41" s="5" cm="1">
        <f ca="1" t="array" ref="N41">SQRT(SUMXMY2($B41:$E41,I$3:I$6))</f>
        <v>48.3443408193368</v>
      </c>
      <c r="O41" s="5" cm="1">
        <f ca="1" t="array" ref="O41">SQRT(SUMXMY2($B41:$E41,J$3:J$6))</f>
        <v>43.082246923762</v>
      </c>
      <c r="P41" s="5" cm="1">
        <f ca="1" t="array" ref="P41">SQRT(SUMXMY2($B41:$E41,K$3:K$6))</f>
        <v>140.122759589947</v>
      </c>
      <c r="Q41" t="str">
        <f ca="1">INDEX($M$2:$P$2,1,MATCH(MIN(M41:P41),M41:P41,0))</f>
        <v>C3</v>
      </c>
      <c r="R41">
        <v>41</v>
      </c>
      <c r="S41" t="str">
        <f ca="1">INDIRECT($F$1&amp;"!Q"&amp;R41)</f>
        <v>C3</v>
      </c>
      <c r="T41">
        <f ca="1" t="shared" si="1"/>
        <v>0</v>
      </c>
    </row>
    <row r="42" spans="1:20">
      <c r="A42" t="s">
        <v>51</v>
      </c>
      <c r="B42">
        <v>13</v>
      </c>
      <c r="C42">
        <v>210</v>
      </c>
      <c r="D42">
        <v>46</v>
      </c>
      <c r="E42">
        <v>21</v>
      </c>
      <c r="M42" s="5" cm="1">
        <f ca="1" t="array" ref="M42">SQRT(SUMXMY2($B42:$E42,H$3:H$6))</f>
        <v>201.989419772423</v>
      </c>
      <c r="N42" s="5" cm="1">
        <f ca="1" t="array" ref="N42">SQRT(SUMXMY2($B42:$E42,I$3:I$6))</f>
        <v>153.790213715668</v>
      </c>
      <c r="O42" s="5" cm="1">
        <f ca="1" t="array" ref="O42">SQRT(SUMXMY2($B42:$E42,J$3:J$6))</f>
        <v>79.3768228137156</v>
      </c>
      <c r="P42" s="5" cm="1">
        <f ca="1" t="array" ref="P42">SQRT(SUMXMY2($B42:$E42,K$3:K$6))</f>
        <v>29.6159085765797</v>
      </c>
      <c r="Q42" t="str">
        <f ca="1">INDEX($M$2:$P$2,1,MATCH(MIN(M42:P42),M42:P42,0))</f>
        <v>C4</v>
      </c>
      <c r="R42">
        <v>42</v>
      </c>
      <c r="S42" t="str">
        <f ca="1">INDIRECT($F$1&amp;"!Q"&amp;R42)</f>
        <v>C4</v>
      </c>
      <c r="T42">
        <f ca="1" t="shared" si="1"/>
        <v>0</v>
      </c>
    </row>
    <row r="43" spans="1:20">
      <c r="A43" t="s">
        <v>52</v>
      </c>
      <c r="B43">
        <v>3</v>
      </c>
      <c r="C43">
        <v>1</v>
      </c>
      <c r="D43">
        <v>43</v>
      </c>
      <c r="E43">
        <v>12</v>
      </c>
      <c r="M43" s="5" cm="1">
        <f ca="1" t="array" ref="M43">SQRT(SUMXMY2($B43:$E43,H$3:H$6))</f>
        <v>12.3144508606758</v>
      </c>
      <c r="N43" s="5" cm="1">
        <f ca="1" t="array" ref="N43">SQRT(SUMXMY2($B43:$E43,I$3:I$6))</f>
        <v>58.1180054886906</v>
      </c>
      <c r="O43" s="5" cm="1">
        <f ca="1" t="array" ref="O43">SQRT(SUMXMY2($B43:$E43,J$3:J$6))</f>
        <v>135.393057429102</v>
      </c>
      <c r="P43" s="5" cm="1">
        <f ca="1" t="array" ref="P43">SQRT(SUMXMY2($B43:$E43,K$3:K$6))</f>
        <v>234.006933439929</v>
      </c>
      <c r="Q43" t="str">
        <f ca="1">INDEX($M$2:$P$2,1,MATCH(MIN(M43:P43),M43:P43,0))</f>
        <v>C1</v>
      </c>
      <c r="R43">
        <v>43</v>
      </c>
      <c r="S43" t="str">
        <f ca="1">INDIRECT($F$1&amp;"!Q"&amp;R43)</f>
        <v>C1</v>
      </c>
      <c r="T43">
        <f ca="1" t="shared" si="1"/>
        <v>0</v>
      </c>
    </row>
    <row r="44" spans="1:20">
      <c r="A44" t="s">
        <v>53</v>
      </c>
      <c r="B44">
        <v>14</v>
      </c>
      <c r="C44">
        <v>96</v>
      </c>
      <c r="D44">
        <v>58</v>
      </c>
      <c r="E44">
        <v>27</v>
      </c>
      <c r="M44" s="5" cm="1">
        <f ca="1" t="array" ref="M44">SQRT(SUMXMY2($B44:$E44,H$3:H$6))</f>
        <v>89.706330322893</v>
      </c>
      <c r="N44" s="5" cm="1">
        <f ca="1" t="array" ref="N44">SQRT(SUMXMY2($B44:$E44,I$3:I$6))</f>
        <v>42.0481630577238</v>
      </c>
      <c r="O44" s="5" cm="1">
        <f ca="1" t="array" ref="O44">SQRT(SUMXMY2($B44:$E44,J$3:J$6))</f>
        <v>40.0709370990997</v>
      </c>
      <c r="P44" s="5" cm="1">
        <f ca="1" t="array" ref="P44">SQRT(SUMXMY2($B44:$E44,K$3:K$6))</f>
        <v>137.697761308555</v>
      </c>
      <c r="Q44" t="str">
        <f ca="1">INDEX($M$2:$P$2,1,MATCH(MIN(M44:P44),M44:P44,0))</f>
        <v>C3</v>
      </c>
      <c r="R44">
        <v>44</v>
      </c>
      <c r="S44" t="str">
        <f ca="1">INDIRECT($F$1&amp;"!Q"&amp;R44)</f>
        <v>C3</v>
      </c>
      <c r="T44">
        <f ca="1" t="shared" si="1"/>
        <v>0</v>
      </c>
    </row>
    <row r="45" spans="1:20">
      <c r="A45" t="s">
        <v>54</v>
      </c>
      <c r="B45">
        <v>13</v>
      </c>
      <c r="C45">
        <v>137</v>
      </c>
      <c r="D45">
        <v>79</v>
      </c>
      <c r="E45">
        <v>25</v>
      </c>
      <c r="M45" s="5" cm="1">
        <f ca="1" t="array" ref="M45">SQRT(SUMXMY2($B45:$E45,H$3:H$6))</f>
        <v>132.20425749574</v>
      </c>
      <c r="N45" s="5" cm="1">
        <f ca="1" t="array" ref="N45">SQRT(SUMXMY2($B45:$E45,I$3:I$6))</f>
        <v>83.8156679765013</v>
      </c>
      <c r="O45" s="5" cm="1">
        <f ca="1" t="array" ref="O45">SQRT(SUMXMY2($B45:$E45,J$3:J$6))</f>
        <v>13.7942016804163</v>
      </c>
      <c r="P45" s="5" cm="1">
        <f ca="1" t="array" ref="P45">SQRT(SUMXMY2($B45:$E45,K$3:K$6))</f>
        <v>98.0231126431155</v>
      </c>
      <c r="Q45" t="str">
        <f ca="1">INDEX($M$2:$P$2,1,MATCH(MIN(M45:P45),M45:P45,0))</f>
        <v>C3</v>
      </c>
      <c r="R45">
        <v>45</v>
      </c>
      <c r="S45" t="str">
        <f ca="1">INDIRECT($F$1&amp;"!Q"&amp;R45)</f>
        <v>C3</v>
      </c>
      <c r="T45">
        <f ca="1" t="shared" si="1"/>
        <v>0</v>
      </c>
    </row>
    <row r="46" spans="1:20">
      <c r="A46" t="s">
        <v>55</v>
      </c>
      <c r="B46">
        <v>0</v>
      </c>
      <c r="C46">
        <v>49</v>
      </c>
      <c r="D46">
        <v>74</v>
      </c>
      <c r="E46">
        <v>21</v>
      </c>
      <c r="M46" s="5" cm="1">
        <f ca="1" t="array" ref="M46">SQRT(SUMXMY2($B46:$E46,H$3:H$6))</f>
        <v>46.7789022958</v>
      </c>
      <c r="N46" s="5" cm="1">
        <f ca="1" t="array" ref="N46">SQRT(SUMXMY2($B46:$E46,I$3:I$6))</f>
        <v>19.1603951890782</v>
      </c>
      <c r="O46" s="5" cm="1">
        <f ca="1" t="array" ref="O46">SQRT(SUMXMY2($B46:$E46,J$3:J$6))</f>
        <v>85.4018735157491</v>
      </c>
      <c r="P46" s="5" cm="1">
        <f ca="1" t="array" ref="P46">SQRT(SUMXMY2($B46:$E46,K$3:K$6))</f>
        <v>185.31737806327</v>
      </c>
      <c r="Q46" t="str">
        <f ca="1">INDEX($M$2:$P$2,1,MATCH(MIN(M46:P46),M46:P46,0))</f>
        <v>C2</v>
      </c>
      <c r="R46">
        <v>46</v>
      </c>
      <c r="S46" t="str">
        <f ca="1">INDIRECT($F$1&amp;"!Q"&amp;R46)</f>
        <v>C2</v>
      </c>
      <c r="T46">
        <f ca="1" t="shared" si="1"/>
        <v>0</v>
      </c>
    </row>
    <row r="47" spans="1:20">
      <c r="A47" t="s">
        <v>56</v>
      </c>
      <c r="B47">
        <v>0.1</v>
      </c>
      <c r="C47">
        <v>44</v>
      </c>
      <c r="D47">
        <v>24</v>
      </c>
      <c r="E47">
        <v>8</v>
      </c>
      <c r="M47" s="5" cm="1">
        <f ca="1" t="array" ref="M47">SQRT(SUMXMY2($B47:$E47,H$3:H$6))</f>
        <v>45.6444268229978</v>
      </c>
      <c r="N47" s="5" cm="1">
        <f ca="1" t="array" ref="N47">SQRT(SUMXMY2($B47:$E47,I$3:I$6))</f>
        <v>37.1358907280449</v>
      </c>
      <c r="O47" s="5" cm="1">
        <f ca="1" t="array" ref="O47">SQRT(SUMXMY2($B47:$E47,J$3:J$6))</f>
        <v>100.861935337371</v>
      </c>
      <c r="P47" s="5" cm="1">
        <f ca="1" t="array" ref="P47">SQRT(SUMXMY2($B47:$E47,K$3:K$6))</f>
        <v>194.681198844864</v>
      </c>
      <c r="Q47" t="str">
        <f ca="1">INDEX($M$2:$P$2,1,MATCH(MIN(M47:P47),M47:P47,0))</f>
        <v>C2</v>
      </c>
      <c r="R47">
        <v>47</v>
      </c>
      <c r="S47" t="str">
        <f ca="1">INDIRECT($F$1&amp;"!Q"&amp;R47)</f>
        <v>C2</v>
      </c>
      <c r="T47">
        <f ca="1" t="shared" si="1"/>
        <v>0</v>
      </c>
    </row>
    <row r="48" spans="1:20">
      <c r="A48" t="s">
        <v>57</v>
      </c>
      <c r="B48">
        <v>7</v>
      </c>
      <c r="C48">
        <v>100</v>
      </c>
      <c r="D48">
        <v>58</v>
      </c>
      <c r="E48">
        <v>16</v>
      </c>
      <c r="M48" s="5" cm="1">
        <f ca="1" t="array" ref="M48">SQRT(SUMXMY2($B48:$E48,H$3:H$6))</f>
        <v>91.7651660489971</v>
      </c>
      <c r="N48" s="5" cm="1">
        <f ca="1" t="array" ref="N48">SQRT(SUMXMY2($B48:$E48,I$3:I$6))</f>
        <v>43.0981208004354</v>
      </c>
      <c r="O48" s="5" cm="1">
        <f ca="1" t="array" ref="O48">SQRT(SUMXMY2($B48:$E48,J$3:J$6))</f>
        <v>35.396044976805</v>
      </c>
      <c r="P48" s="5" cm="1">
        <f ca="1" t="array" ref="P48">SQRT(SUMXMY2($B48:$E48,K$3:K$6))</f>
        <v>134.16552372015</v>
      </c>
      <c r="Q48" t="str">
        <f ca="1">INDEX($M$2:$P$2,1,MATCH(MIN(M48:P48),M48:P48,0))</f>
        <v>C3</v>
      </c>
      <c r="R48">
        <v>48</v>
      </c>
      <c r="S48" t="str">
        <f ca="1">INDIRECT($F$1&amp;"!Q"&amp;R48)</f>
        <v>C3</v>
      </c>
      <c r="T48">
        <f ca="1" t="shared" si="1"/>
        <v>0</v>
      </c>
    </row>
    <row r="49" spans="1:20">
      <c r="A49" t="s">
        <v>58</v>
      </c>
      <c r="B49">
        <v>1</v>
      </c>
      <c r="C49">
        <v>62</v>
      </c>
      <c r="D49">
        <v>73</v>
      </c>
      <c r="E49">
        <v>24</v>
      </c>
      <c r="M49" s="5" cm="1">
        <f ca="1" t="array" ref="M49">SQRT(SUMXMY2($B49:$E49,H$3:H$6))</f>
        <v>58.5577125577835</v>
      </c>
      <c r="N49" s="5" cm="1">
        <f ca="1" t="array" ref="N49">SQRT(SUMXMY2($B49:$E49,I$3:I$6))</f>
        <v>18.2112057955789</v>
      </c>
      <c r="O49" s="5" cm="1">
        <f ca="1" t="array" ref="O49">SQRT(SUMXMY2($B49:$E49,J$3:J$6))</f>
        <v>72.4229245474111</v>
      </c>
      <c r="P49" s="5" cm="1">
        <f ca="1" t="array" ref="P49">SQRT(SUMXMY2($B49:$E49,K$3:K$6))</f>
        <v>172.170063054658</v>
      </c>
      <c r="Q49" t="str">
        <f ca="1">INDEX($M$2:$P$2,1,MATCH(MIN(M49:P49),M49:P49,0))</f>
        <v>C2</v>
      </c>
      <c r="R49">
        <v>49</v>
      </c>
      <c r="S49" t="str">
        <f ca="1">INDIRECT($F$1&amp;"!Q"&amp;R49)</f>
        <v>C2</v>
      </c>
      <c r="T49">
        <f ca="1" t="shared" si="1"/>
        <v>0</v>
      </c>
    </row>
    <row r="50" spans="1:20">
      <c r="A50" t="s">
        <v>59</v>
      </c>
      <c r="B50">
        <v>5</v>
      </c>
      <c r="C50">
        <v>65</v>
      </c>
      <c r="D50">
        <v>34</v>
      </c>
      <c r="E50">
        <v>9</v>
      </c>
      <c r="M50" s="5" cm="1">
        <f ca="1" t="array" ref="M50">SQRT(SUMXMY2($B50:$E50,H$3:H$6))</f>
        <v>59.4515407706142</v>
      </c>
      <c r="N50" s="5" cm="1">
        <f ca="1" t="array" ref="N50">SQRT(SUMXMY2($B50:$E50,I$3:I$6))</f>
        <v>25.9900823424107</v>
      </c>
      <c r="O50" s="5" cm="1">
        <f ca="1" t="array" ref="O50">SQRT(SUMXMY2($B50:$E50,J$3:J$6))</f>
        <v>77.4317764228614</v>
      </c>
      <c r="P50" s="5" cm="1">
        <f ca="1" t="array" ref="P50">SQRT(SUMXMY2($B50:$E50,K$3:K$6))</f>
        <v>172.031855142219</v>
      </c>
      <c r="Q50" t="str">
        <f ca="1">INDEX($M$2:$P$2,1,MATCH(MIN(M50:P50),M50:P50,0))</f>
        <v>C2</v>
      </c>
      <c r="R50">
        <v>50</v>
      </c>
      <c r="S50" t="str">
        <f ca="1">INDIRECT($F$1&amp;"!Q"&amp;R50)</f>
        <v>C2</v>
      </c>
      <c r="T50">
        <f ca="1" t="shared" si="1"/>
        <v>0</v>
      </c>
    </row>
    <row r="51" spans="1:20">
      <c r="A51" t="s">
        <v>60</v>
      </c>
      <c r="B51">
        <v>0</v>
      </c>
      <c r="C51">
        <v>0.1</v>
      </c>
      <c r="D51">
        <v>60</v>
      </c>
      <c r="E51">
        <v>11</v>
      </c>
      <c r="M51" s="5" cm="1">
        <f ca="1" t="array" ref="M51">SQRT(SUMXMY2($B51:$E51,H$3:H$6))</f>
        <v>11.5354973884961</v>
      </c>
      <c r="N51" s="5" cm="1">
        <f ca="1" t="array" ref="N51">SQRT(SUMXMY2($B51:$E51,I$3:I$6))</f>
        <v>57.2854401474979</v>
      </c>
      <c r="O51" s="5" cm="1">
        <f ca="1" t="array" ref="O51">SQRT(SUMXMY2($B51:$E51,J$3:J$6))</f>
        <v>134.457911630369</v>
      </c>
      <c r="P51" s="5" cm="1">
        <f ca="1" t="array" ref="P51">SQRT(SUMXMY2($B51:$E51,K$3:K$6))</f>
        <v>234.278766883055</v>
      </c>
      <c r="Q51" t="str">
        <f ca="1">INDEX($M$2:$P$2,1,MATCH(MIN(M51:P51),M51:P51,0))</f>
        <v>C1</v>
      </c>
      <c r="R51">
        <v>51</v>
      </c>
      <c r="S51" t="str">
        <f ca="1">INDIRECT($F$1&amp;"!Q"&amp;R51)</f>
        <v>C1</v>
      </c>
      <c r="T51">
        <f ca="1" t="shared" si="1"/>
        <v>0</v>
      </c>
    </row>
    <row r="52" spans="1:20">
      <c r="A52" t="s">
        <v>61</v>
      </c>
      <c r="B52">
        <v>6</v>
      </c>
      <c r="C52">
        <v>143</v>
      </c>
      <c r="D52">
        <v>51</v>
      </c>
      <c r="E52">
        <v>11</v>
      </c>
      <c r="M52" s="5" cm="1">
        <f ca="1" t="array" ref="M52">SQRT(SUMXMY2($B52:$E52,H$3:H$6))</f>
        <v>134.420332167422</v>
      </c>
      <c r="N52" s="5" cm="1">
        <f ca="1" t="array" ref="N52">SQRT(SUMXMY2($B52:$E52,I$3:I$6))</f>
        <v>86.3460943907073</v>
      </c>
      <c r="O52" s="5" cm="1">
        <f ca="1" t="array" ref="O52">SQRT(SUMXMY2($B52:$E52,J$3:J$6))</f>
        <v>21.1679002265222</v>
      </c>
      <c r="P52" s="5" cm="1">
        <f ca="1" t="array" ref="P52">SQRT(SUMXMY2($B52:$E52,K$3:K$6))</f>
        <v>92.8475819253671</v>
      </c>
      <c r="Q52" t="str">
        <f ca="1">INDEX($M$2:$P$2,1,MATCH(MIN(M52:P52),M52:P52,0))</f>
        <v>C3</v>
      </c>
      <c r="R52">
        <v>52</v>
      </c>
      <c r="S52" t="str">
        <f ca="1">INDIRECT($F$1&amp;"!Q"&amp;R52)</f>
        <v>C3</v>
      </c>
      <c r="T52">
        <f ca="1" t="shared" si="1"/>
        <v>0</v>
      </c>
    </row>
  </sheetData>
  <mergeCells count="3">
    <mergeCell ref="G1:K1"/>
    <mergeCell ref="M1:P1"/>
    <mergeCell ref="G10:H10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workbookViewId="0">
      <selection activeCell="K22" sqref="K22"/>
    </sheetView>
  </sheetViews>
  <sheetFormatPr defaultColWidth="9" defaultRowHeight="15"/>
  <cols>
    <col min="10" max="11" width="12.8571428571429"/>
    <col min="13" max="16" width="14.5714285714286"/>
    <col min="19" max="19" width="10.5714285714286" customWidth="1"/>
    <col min="20" max="20" width="10.4285714285714" customWidth="1"/>
  </cols>
  <sheetData>
    <row r="1" spans="6:18">
      <c r="F1">
        <f ca="1">_xlfn.SHEET(A1)-1</f>
        <v>5</v>
      </c>
      <c r="G1" s="4" t="s">
        <v>0</v>
      </c>
      <c r="H1" s="4"/>
      <c r="I1" s="4"/>
      <c r="J1" s="4"/>
      <c r="K1" s="4"/>
      <c r="M1" s="4" t="s">
        <v>1</v>
      </c>
      <c r="N1" s="4"/>
      <c r="O1" s="4"/>
      <c r="P1" s="4"/>
      <c r="R1">
        <v>1</v>
      </c>
    </row>
    <row r="2" spans="1:20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M2" t="s">
        <v>8</v>
      </c>
      <c r="N2" t="s">
        <v>9</v>
      </c>
      <c r="O2" t="s">
        <v>10</v>
      </c>
      <c r="P2" t="s">
        <v>11</v>
      </c>
      <c r="Q2" t="s">
        <v>7</v>
      </c>
      <c r="R2">
        <v>2</v>
      </c>
      <c r="S2" t="s">
        <v>62</v>
      </c>
      <c r="T2" t="s">
        <v>63</v>
      </c>
    </row>
    <row r="3" spans="1:20">
      <c r="A3" t="s">
        <v>12</v>
      </c>
      <c r="B3">
        <v>12</v>
      </c>
      <c r="C3">
        <v>193</v>
      </c>
      <c r="D3">
        <v>51</v>
      </c>
      <c r="E3">
        <v>21</v>
      </c>
      <c r="F3">
        <v>2</v>
      </c>
      <c r="G3" t="s">
        <v>3</v>
      </c>
      <c r="H3">
        <f ca="1" t="shared" ref="H3:K3" si="0">IFERROR(AVERAGEIFS(INDIRECT($F$1&amp;"!"&amp;ADDRESS(3,$F3,1)):INDIRECT($F$1&amp;"!"&amp;ADDRESS(52,$F3,1)),INDIRECT($F$1&amp;"!$Q$3"):INDIRECT($F$1&amp;"!$Q$52"),H$2),0)</f>
        <v>2.31</v>
      </c>
      <c r="I3">
        <f ca="1" t="shared" si="0"/>
        <v>3.00909090909091</v>
      </c>
      <c r="J3">
        <f ca="1" t="shared" si="0"/>
        <v>7.8</v>
      </c>
      <c r="K3">
        <f ca="1" t="shared" si="0"/>
        <v>10.2857142857143</v>
      </c>
      <c r="M3" s="5" cm="1">
        <f ca="1" t="array" ref="M3">SQRT(SUMXMY2($B3:$E3,H$3:H$6))</f>
        <v>184.881328694923</v>
      </c>
      <c r="N3" s="5" cm="1">
        <f ca="1" t="array" ref="N3">SQRT(SUMXMY2($B3:$E3,I$3:I$6))</f>
        <v>136.4894029126</v>
      </c>
      <c r="O3" s="5" cm="1">
        <f ca="1" t="array" ref="O3">SQRT(SUMXMY2($B3:$E3,J$3:J$6))</f>
        <v>61.6318099685544</v>
      </c>
      <c r="P3" s="5" cm="1">
        <f ca="1" t="array" ref="P3">SQRT(SUMXMY2($B3:$E3,K$3:K$6))</f>
        <v>42.68943376413</v>
      </c>
      <c r="Q3" t="str">
        <f ca="1">INDEX($M$2:$P$2,1,MATCH(MIN(M3:P3),M3:P3,0))</f>
        <v>C4</v>
      </c>
      <c r="R3">
        <v>3</v>
      </c>
      <c r="S3" t="str">
        <f ca="1">INDIRECT($F$1&amp;"!Q"&amp;R3)</f>
        <v>C4</v>
      </c>
      <c r="T3">
        <f ca="1" t="shared" ref="T3:T52" si="1">IF(Q3=S3,0,1)</f>
        <v>0</v>
      </c>
    </row>
    <row r="4" spans="1:20">
      <c r="A4" t="s">
        <v>13</v>
      </c>
      <c r="B4">
        <v>9</v>
      </c>
      <c r="C4">
        <v>222</v>
      </c>
      <c r="D4">
        <v>39</v>
      </c>
      <c r="E4">
        <v>42</v>
      </c>
      <c r="F4">
        <v>3</v>
      </c>
      <c r="G4" t="s">
        <v>4</v>
      </c>
      <c r="H4">
        <f ca="1" t="shared" ref="H4:K4" si="2">IFERROR(AVERAGEIFS(INDIRECT($F$1&amp;"!"&amp;ADDRESS(3,$F4,1)):INDIRECT($F$1&amp;"!"&amp;ADDRESS(52,$F4,1)),INDIRECT($F$1&amp;"!$Q$3"):INDIRECT($F$1&amp;"!$Q$52"),H$2),0)</f>
        <v>8.64</v>
      </c>
      <c r="I4">
        <f ca="1" t="shared" si="2"/>
        <v>57.0909090909091</v>
      </c>
      <c r="J4">
        <f ca="1" t="shared" si="2"/>
        <v>133.8</v>
      </c>
      <c r="K4">
        <f ca="1" t="shared" si="2"/>
        <v>233.571428571429</v>
      </c>
      <c r="M4" s="5" cm="1">
        <f ca="1" t="array" ref="M4">SQRT(SUMXMY2($B4:$E4,H$3:H$6))</f>
        <v>216.103784557328</v>
      </c>
      <c r="N4" s="5" cm="1">
        <f ca="1" t="array" ref="N4">SQRT(SUMXMY2($B4:$E4,I$3:I$6))</f>
        <v>168.195375620631</v>
      </c>
      <c r="O4" s="5" cm="1">
        <f ca="1" t="array" ref="O4">SQRT(SUMXMY2($B4:$E4,J$3:J$6))</f>
        <v>95.2569157594345</v>
      </c>
      <c r="P4" s="5" cm="1">
        <f ca="1" t="array" ref="P4">SQRT(SUMXMY2($B4:$E4,K$3:K$6))</f>
        <v>30.1276197099564</v>
      </c>
      <c r="Q4" t="str">
        <f ca="1">INDEX($M$2:$P$2,1,MATCH(MIN(M4:P4),M4:P4,0))</f>
        <v>C4</v>
      </c>
      <c r="R4">
        <v>4</v>
      </c>
      <c r="S4" t="str">
        <f ca="1">INDIRECT($F$1&amp;"!Q"&amp;R4)</f>
        <v>C4</v>
      </c>
      <c r="T4">
        <f ca="1" t="shared" si="1"/>
        <v>0</v>
      </c>
    </row>
    <row r="5" spans="1:20">
      <c r="A5" t="s">
        <v>14</v>
      </c>
      <c r="B5">
        <v>6</v>
      </c>
      <c r="C5">
        <v>226</v>
      </c>
      <c r="D5">
        <v>72</v>
      </c>
      <c r="E5">
        <v>30</v>
      </c>
      <c r="F5">
        <v>4</v>
      </c>
      <c r="G5" t="s">
        <v>5</v>
      </c>
      <c r="H5">
        <f ca="1" t="shared" ref="H5:K5" si="3">IFERROR(AVERAGEIFS(INDIRECT($F$1&amp;"!"&amp;ADDRESS(3,$F5,1)):INDIRECT($F$1&amp;"!"&amp;ADDRESS(52,$F5,1)),INDIRECT($F$1&amp;"!$Q$3"):INDIRECT($F$1&amp;"!$Q$52"),H$2),0)</f>
        <v>52.6</v>
      </c>
      <c r="I5">
        <f ca="1" t="shared" si="3"/>
        <v>57.8181818181818</v>
      </c>
      <c r="J5">
        <f ca="1" t="shared" si="3"/>
        <v>67.6</v>
      </c>
      <c r="K5">
        <f ca="1" t="shared" si="3"/>
        <v>62.5714285714286</v>
      </c>
      <c r="M5" s="5" cm="1">
        <f ca="1" t="array" ref="M5">SQRT(SUMXMY2($B5:$E5,H$3:H$6))</f>
        <v>219.063428485907</v>
      </c>
      <c r="N5" s="5" cm="1">
        <f ca="1" t="array" ref="N5">SQRT(SUMXMY2($B5:$E5,I$3:I$6))</f>
        <v>170.152639544033</v>
      </c>
      <c r="O5" s="5" cm="1">
        <f ca="1" t="array" ref="O5">SQRT(SUMXMY2($B5:$E5,J$3:J$6))</f>
        <v>92.8411546675288</v>
      </c>
      <c r="P5" s="5" cm="1">
        <f ca="1" t="array" ref="P5">SQRT(SUMXMY2($B5:$E5,K$3:K$6))</f>
        <v>13.1133208484148</v>
      </c>
      <c r="Q5" t="str">
        <f ca="1">INDEX($M$2:$P$2,1,MATCH(MIN(M5:P5),M5:P5,0))</f>
        <v>C4</v>
      </c>
      <c r="R5">
        <v>5</v>
      </c>
      <c r="S5" t="str">
        <f ca="1">INDIRECT($F$1&amp;"!Q"&amp;R5)</f>
        <v>C4</v>
      </c>
      <c r="T5">
        <f ca="1" t="shared" si="1"/>
        <v>0</v>
      </c>
    </row>
    <row r="6" spans="1:20">
      <c r="A6" t="s">
        <v>15</v>
      </c>
      <c r="B6">
        <v>8</v>
      </c>
      <c r="C6">
        <v>177</v>
      </c>
      <c r="D6">
        <v>50</v>
      </c>
      <c r="E6">
        <v>17</v>
      </c>
      <c r="F6">
        <v>5</v>
      </c>
      <c r="G6" t="s">
        <v>6</v>
      </c>
      <c r="H6">
        <f ca="1" t="shared" ref="H6:K6" si="4">IFERROR(AVERAGEIFS(INDIRECT($F$1&amp;"!"&amp;ADDRESS(3,$F6,1)):INDIRECT($F$1&amp;"!"&amp;ADDRESS(52,$F6,1)),INDIRECT($F$1&amp;"!$Q$3"):INDIRECT($F$1&amp;"!$Q$52"),H$2),0)</f>
        <v>11.2</v>
      </c>
      <c r="I6">
        <f ca="1" t="shared" si="4"/>
        <v>15.4545454545455</v>
      </c>
      <c r="J6">
        <f ca="1" t="shared" si="4"/>
        <v>20.2</v>
      </c>
      <c r="K6">
        <f ca="1" t="shared" si="4"/>
        <v>27.2857142857143</v>
      </c>
      <c r="M6" s="5" cm="1">
        <f ca="1" t="array" ref="M6">SQRT(SUMXMY2($B6:$E6,H$3:H$6))</f>
        <v>168.57599384254</v>
      </c>
      <c r="N6" s="5" cm="1">
        <f ca="1" t="array" ref="N6">SQRT(SUMXMY2($B6:$E6,I$3:I$6))</f>
        <v>120.277228322291</v>
      </c>
      <c r="O6" s="5" cm="1">
        <f ca="1" t="array" ref="O6">SQRT(SUMXMY2($B6:$E6,J$3:J$6))</f>
        <v>46.7576731670856</v>
      </c>
      <c r="P6" s="5" cm="1">
        <f ca="1" t="array" ref="P6">SQRT(SUMXMY2($B6:$E6,K$3:K$6))</f>
        <v>58.9015089373952</v>
      </c>
      <c r="Q6" t="str">
        <f ca="1">INDEX($M$2:$P$2,1,MATCH(MIN(M6:P6),M6:P6,0))</f>
        <v>C3</v>
      </c>
      <c r="R6">
        <v>6</v>
      </c>
      <c r="S6" t="str">
        <f ca="1">INDIRECT($F$1&amp;"!Q"&amp;R6)</f>
        <v>C3</v>
      </c>
      <c r="T6">
        <f ca="1" t="shared" si="1"/>
        <v>0</v>
      </c>
    </row>
    <row r="7" spans="1:20">
      <c r="A7" t="s">
        <v>16</v>
      </c>
      <c r="B7">
        <v>7</v>
      </c>
      <c r="C7">
        <v>235</v>
      </c>
      <c r="D7">
        <v>86</v>
      </c>
      <c r="E7">
        <v>39</v>
      </c>
      <c r="M7" s="5" cm="1">
        <f ca="1" t="array" ref="M7">SQRT(SUMXMY2($B7:$E7,H$3:H$6))</f>
        <v>230.5412017406</v>
      </c>
      <c r="N7" s="5" cm="1">
        <f ca="1" t="array" ref="N7">SQRT(SUMXMY2($B7:$E7,I$3:I$6))</f>
        <v>181.703536809981</v>
      </c>
      <c r="O7" s="5" cm="1">
        <f ca="1" t="array" ref="O7">SQRT(SUMXMY2($B7:$E7,J$3:J$6))</f>
        <v>104.566151311024</v>
      </c>
      <c r="P7" s="5" cm="1">
        <f ca="1" t="array" ref="P7">SQRT(SUMXMY2($B7:$E7,K$3:K$6))</f>
        <v>26.4378362139088</v>
      </c>
      <c r="Q7" t="str">
        <f ca="1">INDEX($M$2:$P$2,1,MATCH(MIN(M7:P7),M7:P7,0))</f>
        <v>C4</v>
      </c>
      <c r="R7">
        <v>7</v>
      </c>
      <c r="S7" t="str">
        <f ca="1">INDIRECT($F$1&amp;"!Q"&amp;R7)</f>
        <v>C4</v>
      </c>
      <c r="T7">
        <f ca="1" t="shared" si="1"/>
        <v>0</v>
      </c>
    </row>
    <row r="8" spans="1:20">
      <c r="A8" t="s">
        <v>17</v>
      </c>
      <c r="B8">
        <v>5</v>
      </c>
      <c r="C8">
        <v>170</v>
      </c>
      <c r="D8">
        <v>78</v>
      </c>
      <c r="E8">
        <v>37</v>
      </c>
      <c r="M8" s="5" cm="1">
        <f ca="1" t="array" ref="M8">SQRT(SUMXMY2($B8:$E8,H$3:H$6))</f>
        <v>165.393729324905</v>
      </c>
      <c r="N8" s="5" cm="1">
        <f ca="1" t="array" ref="N8">SQRT(SUMXMY2($B8:$E8,I$3:I$6))</f>
        <v>116.721630067524</v>
      </c>
      <c r="O8" s="5" cm="1">
        <f ca="1" t="array" ref="O8">SQRT(SUMXMY2($B8:$E8,J$3:J$6))</f>
        <v>41.3361826974867</v>
      </c>
      <c r="P8" s="5" cm="1">
        <f ca="1" t="array" ref="P8">SQRT(SUMXMY2($B8:$E8,K$3:K$6))</f>
        <v>66.3451088580594</v>
      </c>
      <c r="Q8" t="str">
        <f ca="1">INDEX($M$2:$P$2,1,MATCH(MIN(M8:P8),M8:P8,0))</f>
        <v>C3</v>
      </c>
      <c r="R8">
        <v>8</v>
      </c>
      <c r="S8" t="str">
        <f ca="1">INDIRECT($F$1&amp;"!Q"&amp;R8)</f>
        <v>C3</v>
      </c>
      <c r="T8">
        <f ca="1" t="shared" si="1"/>
        <v>0</v>
      </c>
    </row>
    <row r="9" spans="1:20">
      <c r="A9" t="s">
        <v>18</v>
      </c>
      <c r="B9">
        <v>0</v>
      </c>
      <c r="C9">
        <v>35</v>
      </c>
      <c r="D9">
        <v>75</v>
      </c>
      <c r="E9">
        <v>7</v>
      </c>
      <c r="M9" s="5" cm="1">
        <f ca="1" t="array" ref="M9">SQRT(SUMXMY2($B9:$E9,H$3:H$6))</f>
        <v>34.922567202312</v>
      </c>
      <c r="N9" s="5" cm="1">
        <f ca="1" t="array" ref="N9">SQRT(SUMXMY2($B9:$E9,I$3:I$6))</f>
        <v>29.3897449365934</v>
      </c>
      <c r="O9" s="5" cm="1">
        <f ca="1" t="array" ref="O9">SQRT(SUMXMY2($B9:$E9,J$3:J$6))</f>
        <v>100.256072135308</v>
      </c>
      <c r="P9" s="5" cm="1">
        <f ca="1" t="array" ref="P9">SQRT(SUMXMY2($B9:$E9,K$3:K$6))</f>
        <v>200.255805796242</v>
      </c>
      <c r="Q9" t="str">
        <f ca="1">INDEX($M$2:$P$2,1,MATCH(MIN(M9:P9),M9:P9,0))</f>
        <v>C2</v>
      </c>
      <c r="R9">
        <v>9</v>
      </c>
      <c r="S9" t="str">
        <f ca="1">INDIRECT($F$1&amp;"!Q"&amp;R9)</f>
        <v>C2</v>
      </c>
      <c r="T9">
        <f ca="1" t="shared" si="1"/>
        <v>0</v>
      </c>
    </row>
    <row r="10" spans="1:20">
      <c r="A10" t="s">
        <v>19</v>
      </c>
      <c r="B10">
        <v>4</v>
      </c>
      <c r="C10">
        <v>198</v>
      </c>
      <c r="D10">
        <v>70</v>
      </c>
      <c r="E10">
        <v>15</v>
      </c>
      <c r="G10" s="4" t="s">
        <v>64</v>
      </c>
      <c r="H10" s="4"/>
      <c r="I10">
        <f ca="1">SUM(T3:T52)</f>
        <v>0</v>
      </c>
      <c r="M10" s="5" cm="1">
        <f ca="1" t="array" ref="M10">SQRT(SUMXMY2($B10:$E10,H$3:H$6))</f>
        <v>190.203222107303</v>
      </c>
      <c r="N10" s="5" cm="1">
        <f ca="1" t="array" ref="N10">SQRT(SUMXMY2($B10:$E10,I$3:I$6))</f>
        <v>141.438881172887</v>
      </c>
      <c r="O10" s="5" cm="1">
        <f ca="1" t="array" ref="O10">SQRT(SUMXMY2($B10:$E10,J$3:J$6))</f>
        <v>64.5668645668968</v>
      </c>
      <c r="P10" s="5" cm="1">
        <f ca="1" t="array" ref="P10">SQRT(SUMXMY2($B10:$E10,K$3:K$6))</f>
        <v>38.8710584326369</v>
      </c>
      <c r="Q10" t="str">
        <f ca="1">INDEX($M$2:$P$2,1,MATCH(MIN(M10:P10),M10:P10,0))</f>
        <v>C4</v>
      </c>
      <c r="R10">
        <v>10</v>
      </c>
      <c r="S10" t="str">
        <f ca="1">INDIRECT($F$1&amp;"!Q"&amp;R10)</f>
        <v>C4</v>
      </c>
      <c r="T10">
        <f ca="1" t="shared" si="1"/>
        <v>0</v>
      </c>
    </row>
    <row r="11" spans="1:20">
      <c r="A11" t="s">
        <v>20</v>
      </c>
      <c r="B11">
        <v>13</v>
      </c>
      <c r="C11">
        <v>259</v>
      </c>
      <c r="D11">
        <v>74</v>
      </c>
      <c r="E11">
        <v>30</v>
      </c>
      <c r="M11" s="5" cm="1">
        <f ca="1" t="array" ref="M11">SQRT(SUMXMY2($B11:$E11,H$3:H$6))</f>
        <v>252.201914544676</v>
      </c>
      <c r="N11" s="5" cm="1">
        <f ca="1" t="array" ref="N11">SQRT(SUMXMY2($B11:$E11,I$3:I$6))</f>
        <v>203.323684660203</v>
      </c>
      <c r="O11" s="5" cm="1">
        <f ca="1" t="array" ref="O11">SQRT(SUMXMY2($B11:$E11,J$3:J$6))</f>
        <v>125.853406787421</v>
      </c>
      <c r="P11" s="5" cm="1">
        <f ca="1" t="array" ref="P11">SQRT(SUMXMY2($B11:$E11,K$3:K$6))</f>
        <v>28.1417693770926</v>
      </c>
      <c r="Q11" t="str">
        <f ca="1">INDEX($M$2:$P$2,1,MATCH(MIN(M11:P11),M11:P11,0))</f>
        <v>C4</v>
      </c>
      <c r="R11">
        <v>11</v>
      </c>
      <c r="S11" t="str">
        <f ca="1">INDIRECT($F$1&amp;"!Q"&amp;R11)</f>
        <v>C4</v>
      </c>
      <c r="T11">
        <f ca="1" t="shared" si="1"/>
        <v>0</v>
      </c>
    </row>
    <row r="12" spans="1:20">
      <c r="A12" t="s">
        <v>21</v>
      </c>
      <c r="B12">
        <v>15</v>
      </c>
      <c r="C12">
        <v>136</v>
      </c>
      <c r="D12">
        <v>52</v>
      </c>
      <c r="E12">
        <v>24</v>
      </c>
      <c r="M12" s="5" cm="1">
        <f ca="1" t="array" ref="M12">SQRT(SUMXMY2($B12:$E12,H$3:H$6))</f>
        <v>128.630500659836</v>
      </c>
      <c r="N12" s="5" cm="1">
        <f ca="1" t="array" ref="N12">SQRT(SUMXMY2($B12:$E12,I$3:I$6))</f>
        <v>80.4816908494315</v>
      </c>
      <c r="O12" s="5" cm="1">
        <f ca="1" t="array" ref="O12">SQRT(SUMXMY2($B12:$E12,J$3:J$6))</f>
        <v>17.7335839581287</v>
      </c>
      <c r="P12" s="5" cm="1">
        <f ca="1" t="array" ref="P12">SQRT(SUMXMY2($B12:$E12,K$3:K$6))</f>
        <v>98.310524277279</v>
      </c>
      <c r="Q12" t="str">
        <f ca="1">INDEX($M$2:$P$2,1,MATCH(MIN(M12:P12),M12:P12,0))</f>
        <v>C3</v>
      </c>
      <c r="R12">
        <v>12</v>
      </c>
      <c r="S12" t="str">
        <f ca="1">INDIRECT($F$1&amp;"!Q"&amp;R12)</f>
        <v>C3</v>
      </c>
      <c r="T12">
        <f ca="1" t="shared" si="1"/>
        <v>0</v>
      </c>
    </row>
    <row r="13" spans="1:20">
      <c r="A13" t="s">
        <v>22</v>
      </c>
      <c r="B13">
        <v>5</v>
      </c>
      <c r="C13">
        <v>32</v>
      </c>
      <c r="D13">
        <v>82</v>
      </c>
      <c r="E13">
        <v>17</v>
      </c>
      <c r="M13" s="5" cm="1">
        <f ca="1" t="array" ref="M13">SQRT(SUMXMY2($B13:$E13,H$3:H$6))</f>
        <v>38.0910186264426</v>
      </c>
      <c r="N13" s="5" cm="1">
        <f ca="1" t="array" ref="N13">SQRT(SUMXMY2($B13:$E13,I$3:I$6))</f>
        <v>34.938033693199</v>
      </c>
      <c r="O13" s="5" cm="1">
        <f ca="1" t="array" ref="O13">SQRT(SUMXMY2($B13:$E13,J$3:J$6))</f>
        <v>102.901311944989</v>
      </c>
      <c r="P13" s="5" cm="1">
        <f ca="1" t="array" ref="P13">SQRT(SUMXMY2($B13:$E13,K$3:K$6))</f>
        <v>202.835511925203</v>
      </c>
      <c r="Q13" t="str">
        <f ca="1">INDEX($M$2:$P$2,1,MATCH(MIN(M13:P13),M13:P13,0))</f>
        <v>C2</v>
      </c>
      <c r="R13">
        <v>13</v>
      </c>
      <c r="S13" t="str">
        <f ca="1">INDIRECT($F$1&amp;"!Q"&amp;R13)</f>
        <v>C2</v>
      </c>
      <c r="T13">
        <f ca="1" t="shared" si="1"/>
        <v>0</v>
      </c>
    </row>
    <row r="14" spans="1:20">
      <c r="A14" t="s">
        <v>23</v>
      </c>
      <c r="B14">
        <v>0</v>
      </c>
      <c r="C14">
        <v>54</v>
      </c>
      <c r="D14">
        <v>47</v>
      </c>
      <c r="E14">
        <v>12</v>
      </c>
      <c r="M14" s="5" cm="1">
        <f ca="1" t="array" ref="M14">SQRT(SUMXMY2($B14:$E14,H$3:H$6))</f>
        <v>45.7697028611723</v>
      </c>
      <c r="N14" s="5" cm="1">
        <f ca="1" t="array" ref="N14">SQRT(SUMXMY2($B14:$E14,I$3:I$6))</f>
        <v>12.1480570156794</v>
      </c>
      <c r="O14" s="5" cm="1">
        <f ca="1" t="array" ref="O14">SQRT(SUMXMY2($B14:$E14,J$3:J$6))</f>
        <v>83.1894224045341</v>
      </c>
      <c r="P14" s="5" cm="1">
        <f ca="1" t="array" ref="P14">SQRT(SUMXMY2($B14:$E14,K$3:K$6))</f>
        <v>181.184481472698</v>
      </c>
      <c r="Q14" t="str">
        <f ca="1">INDEX($M$2:$P$2,1,MATCH(MIN(M14:P14),M14:P14,0))</f>
        <v>C2</v>
      </c>
      <c r="R14">
        <v>14</v>
      </c>
      <c r="S14" t="str">
        <f ca="1">INDIRECT($F$1&amp;"!Q"&amp;R14)</f>
        <v>C2</v>
      </c>
      <c r="T14">
        <f ca="1" t="shared" si="1"/>
        <v>0</v>
      </c>
    </row>
    <row r="15" spans="1:20">
      <c r="A15" t="s">
        <v>24</v>
      </c>
      <c r="B15">
        <v>10</v>
      </c>
      <c r="C15">
        <v>218</v>
      </c>
      <c r="D15">
        <v>79</v>
      </c>
      <c r="E15">
        <v>20</v>
      </c>
      <c r="M15" s="5" cm="1">
        <f ca="1" t="array" ref="M15">SQRT(SUMXMY2($B15:$E15,H$3:H$6))</f>
        <v>211.34130145336</v>
      </c>
      <c r="N15" s="5" cm="1">
        <f ca="1" t="array" ref="N15">SQRT(SUMXMY2($B15:$E15,I$3:I$6))</f>
        <v>162.511350143982</v>
      </c>
      <c r="O15" s="5" cm="1">
        <f ca="1" t="array" ref="O15">SQRT(SUMXMY2($B15:$E15,J$3:J$6))</f>
        <v>84.996941121431</v>
      </c>
      <c r="P15" s="5" cm="1">
        <f ca="1" t="array" ref="P15">SQRT(SUMXMY2($B15:$E15,K$3:K$6))</f>
        <v>23.7808875411516</v>
      </c>
      <c r="Q15" t="str">
        <f ca="1">INDEX($M$2:$P$2,1,MATCH(MIN(M15:P15),M15:P15,0))</f>
        <v>C4</v>
      </c>
      <c r="R15">
        <v>15</v>
      </c>
      <c r="S15" t="str">
        <f ca="1">INDIRECT($F$1&amp;"!Q"&amp;R15)</f>
        <v>C4</v>
      </c>
      <c r="T15">
        <f ca="1" t="shared" si="1"/>
        <v>0</v>
      </c>
    </row>
    <row r="16" spans="1:20">
      <c r="A16" t="s">
        <v>25</v>
      </c>
      <c r="B16">
        <v>7</v>
      </c>
      <c r="C16">
        <v>26</v>
      </c>
      <c r="D16">
        <v>65</v>
      </c>
      <c r="E16">
        <v>19</v>
      </c>
      <c r="M16" s="5" cm="1">
        <f ca="1" t="array" ref="M16">SQRT(SUMXMY2($B16:$E16,H$3:H$6))</f>
        <v>23.1940876086989</v>
      </c>
      <c r="N16" s="5" cm="1">
        <f ca="1" t="array" ref="N16">SQRT(SUMXMY2($B16:$E16,I$3:I$6))</f>
        <v>32.3530639013008</v>
      </c>
      <c r="O16" s="5" cm="1">
        <f ca="1" t="array" ref="O16">SQRT(SUMXMY2($B16:$E16,J$3:J$6))</f>
        <v>107.8409940607</v>
      </c>
      <c r="P16" s="5" cm="1">
        <f ca="1" t="array" ref="P16">SQRT(SUMXMY2($B16:$E16,K$3:K$6))</f>
        <v>207.776911368802</v>
      </c>
      <c r="Q16" t="str">
        <f ca="1">INDEX($M$2:$P$2,1,MATCH(MIN(M16:P16),M16:P16,0))</f>
        <v>C1</v>
      </c>
      <c r="R16">
        <v>16</v>
      </c>
      <c r="S16" t="str">
        <f ca="1">INDIRECT($F$1&amp;"!Q"&amp;R16)</f>
        <v>C1</v>
      </c>
      <c r="T16">
        <f ca="1" t="shared" si="1"/>
        <v>0</v>
      </c>
    </row>
    <row r="17" spans="1:20">
      <c r="A17" t="s">
        <v>26</v>
      </c>
      <c r="B17">
        <v>2</v>
      </c>
      <c r="C17">
        <v>0.1</v>
      </c>
      <c r="D17">
        <v>53</v>
      </c>
      <c r="E17">
        <v>9</v>
      </c>
      <c r="M17" s="5" cm="1">
        <f ca="1" t="array" ref="M17">SQRT(SUMXMY2($B17:$E17,H$3:H$6))</f>
        <v>8.83332893081651</v>
      </c>
      <c r="N17" s="5" cm="1">
        <f ca="1" t="array" ref="N17">SQRT(SUMXMY2($B17:$E17,I$3:I$6))</f>
        <v>57.566118650895</v>
      </c>
      <c r="O17" s="5" cm="1">
        <f ca="1" t="array" ref="O17">SQRT(SUMXMY2($B17:$E17,J$3:J$6))</f>
        <v>135.084899230077</v>
      </c>
      <c r="P17" s="5" cm="1">
        <f ca="1" t="array" ref="P17">SQRT(SUMXMY2($B17:$E17,K$3:K$6))</f>
        <v>234.52833648036</v>
      </c>
      <c r="Q17" t="str">
        <f ca="1">INDEX($M$2:$P$2,1,MATCH(MIN(M17:P17),M17:P17,0))</f>
        <v>C1</v>
      </c>
      <c r="R17">
        <v>17</v>
      </c>
      <c r="S17" t="str">
        <f ca="1">INDIRECT($F$1&amp;"!Q"&amp;R17)</f>
        <v>C1</v>
      </c>
      <c r="T17">
        <f ca="1" t="shared" si="1"/>
        <v>0</v>
      </c>
    </row>
    <row r="18" spans="1:20">
      <c r="A18" t="s">
        <v>27</v>
      </c>
      <c r="B18">
        <v>3</v>
      </c>
      <c r="C18">
        <v>80</v>
      </c>
      <c r="D18">
        <v>56</v>
      </c>
      <c r="E18">
        <v>16</v>
      </c>
      <c r="M18" s="5" cm="1">
        <f ca="1" t="array" ref="M18">SQRT(SUMXMY2($B18:$E18,H$3:H$6))</f>
        <v>71.6053468673953</v>
      </c>
      <c r="N18" s="5" cm="1">
        <f ca="1" t="array" ref="N18">SQRT(SUMXMY2($B18:$E18,I$3:I$6))</f>
        <v>22.987601760748</v>
      </c>
      <c r="O18" s="5" cm="1">
        <f ca="1" t="array" ref="O18">SQRT(SUMXMY2($B18:$E18,J$3:J$6))</f>
        <v>55.4046929420243</v>
      </c>
      <c r="P18" s="5" cm="1">
        <f ca="1" t="array" ref="P18">SQRT(SUMXMY2($B18:$E18,K$3:K$6))</f>
        <v>154.297816985629</v>
      </c>
      <c r="Q18" t="str">
        <f ca="1">INDEX($M$2:$P$2,1,MATCH(MIN(M18:P18),M18:P18,0))</f>
        <v>C2</v>
      </c>
      <c r="R18">
        <v>18</v>
      </c>
      <c r="S18" t="str">
        <f ca="1">INDIRECT($F$1&amp;"!Q"&amp;R18)</f>
        <v>C2</v>
      </c>
      <c r="T18">
        <f ca="1" t="shared" si="1"/>
        <v>0</v>
      </c>
    </row>
    <row r="19" spans="1:20">
      <c r="A19" t="s">
        <v>28</v>
      </c>
      <c r="B19">
        <v>7</v>
      </c>
      <c r="C19">
        <v>70</v>
      </c>
      <c r="D19">
        <v>43</v>
      </c>
      <c r="E19">
        <v>15</v>
      </c>
      <c r="M19" s="5" cm="1">
        <f ca="1" t="array" ref="M19">SQRT(SUMXMY2($B19:$E19,H$3:H$6))</f>
        <v>62.3990841278941</v>
      </c>
      <c r="N19" s="5" cm="1">
        <f ca="1" t="array" ref="N19">SQRT(SUMXMY2($B19:$E19,I$3:I$6))</f>
        <v>20.0588411289889</v>
      </c>
      <c r="O19" s="5" cm="1">
        <f ca="1" t="array" ref="O19">SQRT(SUMXMY2($B19:$E19,J$3:J$6))</f>
        <v>68.5804636904709</v>
      </c>
      <c r="P19" s="5" cm="1">
        <f ca="1" t="array" ref="P19">SQRT(SUMXMY2($B19:$E19,K$3:K$6))</f>
        <v>165.228289814735</v>
      </c>
      <c r="Q19" t="str">
        <f ca="1">INDEX($M$2:$P$2,1,MATCH(MIN(M19:P19),M19:P19,0))</f>
        <v>C2</v>
      </c>
      <c r="R19">
        <v>19</v>
      </c>
      <c r="S19" t="str">
        <f ca="1">INDIRECT($F$1&amp;"!Q"&amp;R19)</f>
        <v>C2</v>
      </c>
      <c r="T19">
        <f ca="1" t="shared" si="1"/>
        <v>0</v>
      </c>
    </row>
    <row r="20" spans="1:20">
      <c r="A20" t="s">
        <v>29</v>
      </c>
      <c r="B20">
        <v>15</v>
      </c>
      <c r="C20">
        <v>159</v>
      </c>
      <c r="D20">
        <v>61</v>
      </c>
      <c r="E20">
        <v>19</v>
      </c>
      <c r="M20" s="5" cm="1">
        <f ca="1" t="array" ref="M20">SQRT(SUMXMY2($B20:$E20,H$3:H$6))</f>
        <v>151.329328618084</v>
      </c>
      <c r="N20" s="5" cm="1">
        <f ca="1" t="array" ref="N20">SQRT(SUMXMY2($B20:$E20,I$3:I$6))</f>
        <v>102.722631029486</v>
      </c>
      <c r="O20" s="5" cm="1">
        <f ca="1" t="array" ref="O20">SQRT(SUMXMY2($B20:$E20,J$3:J$6))</f>
        <v>27.0532807622292</v>
      </c>
      <c r="P20" s="5" cm="1">
        <f ca="1" t="array" ref="P20">SQRT(SUMXMY2($B20:$E20,K$3:K$6))</f>
        <v>75.1947132314446</v>
      </c>
      <c r="Q20" t="str">
        <f ca="1">INDEX($M$2:$P$2,1,MATCH(MIN(M20:P20),M20:P20,0))</f>
        <v>C3</v>
      </c>
      <c r="R20">
        <v>20</v>
      </c>
      <c r="S20" t="str">
        <f ca="1">INDIRECT($F$1&amp;"!Q"&amp;R20)</f>
        <v>C3</v>
      </c>
      <c r="T20">
        <f ca="1" t="shared" si="1"/>
        <v>0</v>
      </c>
    </row>
    <row r="21" spans="1:20">
      <c r="A21" t="s">
        <v>30</v>
      </c>
      <c r="B21">
        <v>1</v>
      </c>
      <c r="C21">
        <v>0.1</v>
      </c>
      <c r="D21">
        <v>45</v>
      </c>
      <c r="E21">
        <v>7</v>
      </c>
      <c r="M21" s="5" cm="1">
        <f ca="1" t="array" ref="M21">SQRT(SUMXMY2($B21:$E21,H$3:H$6))</f>
        <v>12.2493959034721</v>
      </c>
      <c r="N21" s="5" cm="1">
        <f ca="1" t="array" ref="N21">SQRT(SUMXMY2($B21:$E21,I$3:I$6))</f>
        <v>59.0574744571438</v>
      </c>
      <c r="O21" s="5" cm="1">
        <f ca="1" t="array" ref="O21">SQRT(SUMXMY2($B21:$E21,J$3:J$6))</f>
        <v>136.407221216474</v>
      </c>
      <c r="P21" s="5" cm="1">
        <f ca="1" t="array" ref="P21">SQRT(SUMXMY2($B21:$E21,K$3:K$6))</f>
        <v>235.192257004992</v>
      </c>
      <c r="Q21" t="str">
        <f ca="1">INDEX($M$2:$P$2,1,MATCH(MIN(M21:P21),M21:P21,0))</f>
        <v>C1</v>
      </c>
      <c r="R21">
        <v>21</v>
      </c>
      <c r="S21" t="str">
        <f ca="1">INDIRECT($F$1&amp;"!Q"&amp;R21)</f>
        <v>C1</v>
      </c>
      <c r="T21">
        <f ca="1" t="shared" si="1"/>
        <v>0</v>
      </c>
    </row>
    <row r="22" spans="1:20">
      <c r="A22" t="s">
        <v>31</v>
      </c>
      <c r="B22">
        <v>10</v>
      </c>
      <c r="C22">
        <v>260</v>
      </c>
      <c r="D22">
        <v>63</v>
      </c>
      <c r="E22">
        <v>28</v>
      </c>
      <c r="M22" s="5" cm="1">
        <f ca="1" t="array" ref="M22">SQRT(SUMXMY2($B22:$E22,H$3:H$6))</f>
        <v>252.252622781211</v>
      </c>
      <c r="N22" s="5" cm="1">
        <f ca="1" t="array" ref="N22">SQRT(SUMXMY2($B22:$E22,I$3:I$6))</f>
        <v>203.48270602902</v>
      </c>
      <c r="O22" s="5" cm="1">
        <f ca="1" t="array" ref="O22">SQRT(SUMXMY2($B22:$E22,J$3:J$6))</f>
        <v>126.543589327947</v>
      </c>
      <c r="P22" s="5" cm="1">
        <f ca="1" t="array" ref="P22">SQRT(SUMXMY2($B22:$E22,K$3:K$6))</f>
        <v>26.4432391729754</v>
      </c>
      <c r="Q22" t="str">
        <f ca="1">INDEX($M$2:$P$2,1,MATCH(MIN(M22:P22),M22:P22,0))</f>
        <v>C4</v>
      </c>
      <c r="R22">
        <v>22</v>
      </c>
      <c r="S22" t="str">
        <f ca="1">INDIRECT($F$1&amp;"!Q"&amp;R22)</f>
        <v>C4</v>
      </c>
      <c r="T22">
        <f ca="1" t="shared" si="1"/>
        <v>0</v>
      </c>
    </row>
    <row r="23" spans="1:20">
      <c r="A23" t="s">
        <v>32</v>
      </c>
      <c r="B23">
        <v>2</v>
      </c>
      <c r="C23">
        <v>138</v>
      </c>
      <c r="D23">
        <v>82</v>
      </c>
      <c r="E23">
        <v>13</v>
      </c>
      <c r="M23" s="5" cm="1">
        <f ca="1" t="array" ref="M23">SQRT(SUMXMY2($B23:$E23,H$3:H$6))</f>
        <v>132.671420057223</v>
      </c>
      <c r="N23" s="5" cm="1">
        <f ca="1" t="array" ref="N23">SQRT(SUMXMY2($B23:$E23,I$3:I$6))</f>
        <v>84.4871847096664</v>
      </c>
      <c r="O23" s="5" cm="1">
        <f ca="1" t="array" ref="O23">SQRT(SUMXMY2($B23:$E23,J$3:J$6))</f>
        <v>17.6204426732134</v>
      </c>
      <c r="P23" s="5" cm="1">
        <f ca="1" t="array" ref="P23">SQRT(SUMXMY2($B23:$E23,K$3:K$6))</f>
        <v>98.9146199548698</v>
      </c>
      <c r="Q23" t="str">
        <f ca="1">INDEX($M$2:$P$2,1,MATCH(MIN(M23:P23),M23:P23,0))</f>
        <v>C3</v>
      </c>
      <c r="R23">
        <v>23</v>
      </c>
      <c r="S23" t="str">
        <f ca="1">INDIRECT($F$1&amp;"!Q"&amp;R23)</f>
        <v>C3</v>
      </c>
      <c r="T23">
        <f ca="1" t="shared" si="1"/>
        <v>0</v>
      </c>
    </row>
    <row r="24" spans="1:20">
      <c r="A24" t="s">
        <v>33</v>
      </c>
      <c r="B24">
        <v>11</v>
      </c>
      <c r="C24">
        <v>251</v>
      </c>
      <c r="D24">
        <v>68</v>
      </c>
      <c r="E24">
        <v>35</v>
      </c>
      <c r="M24" s="5" cm="1">
        <f ca="1" t="array" ref="M24">SQRT(SUMXMY2($B24:$E24,H$3:H$6))</f>
        <v>244.166921797364</v>
      </c>
      <c r="N24" s="5" cm="1">
        <f ca="1" t="array" ref="N24">SQRT(SUMXMY2($B24:$E24,I$3:I$6))</f>
        <v>195.320977829227</v>
      </c>
      <c r="O24" s="5" cm="1">
        <f ca="1" t="array" ref="O24">SQRT(SUMXMY2($B24:$E24,J$3:J$6))</f>
        <v>118.174785804756</v>
      </c>
      <c r="P24" s="5" cm="1">
        <f ca="1" t="array" ref="P24">SQRT(SUMXMY2($B24:$E24,K$3:K$6))</f>
        <v>19.8304033735873</v>
      </c>
      <c r="Q24" t="str">
        <f ca="1">INDEX($M$2:$P$2,1,MATCH(MIN(M24:P24),M24:P24,0))</f>
        <v>C4</v>
      </c>
      <c r="R24">
        <v>24</v>
      </c>
      <c r="S24" t="str">
        <f ca="1">INDIRECT($F$1&amp;"!Q"&amp;R24)</f>
        <v>C4</v>
      </c>
      <c r="T24">
        <f ca="1" t="shared" si="1"/>
        <v>0</v>
      </c>
    </row>
    <row r="25" spans="1:20">
      <c r="A25" t="s">
        <v>34</v>
      </c>
      <c r="B25">
        <v>1</v>
      </c>
      <c r="C25">
        <v>3</v>
      </c>
      <c r="D25">
        <v>62</v>
      </c>
      <c r="E25">
        <v>14</v>
      </c>
      <c r="M25" s="5" cm="1">
        <f ca="1" t="array" ref="M25">SQRT(SUMXMY2($B25:$E25,H$3:H$6))</f>
        <v>11.3897190483348</v>
      </c>
      <c r="N25" s="5" cm="1">
        <f ca="1" t="array" ref="N25">SQRT(SUMXMY2($B25:$E25,I$3:I$6))</f>
        <v>54.3089881911559</v>
      </c>
      <c r="O25" s="5" cm="1">
        <f ca="1" t="array" ref="O25">SQRT(SUMXMY2($B25:$E25,J$3:J$6))</f>
        <v>131.242828375496</v>
      </c>
      <c r="P25" s="5" cm="1">
        <f ca="1" t="array" ref="P25">SQRT(SUMXMY2($B25:$E25,K$3:K$6))</f>
        <v>231.141179580704</v>
      </c>
      <c r="Q25" t="str">
        <f ca="1">INDEX($M$2:$P$2,1,MATCH(MIN(M25:P25),M25:P25,0))</f>
        <v>C1</v>
      </c>
      <c r="R25">
        <v>25</v>
      </c>
      <c r="S25" t="str">
        <f ca="1">INDIRECT($F$1&amp;"!Q"&amp;R25)</f>
        <v>C1</v>
      </c>
      <c r="T25">
        <f ca="1" t="shared" si="1"/>
        <v>0</v>
      </c>
    </row>
    <row r="26" spans="1:20">
      <c r="A26" t="s">
        <v>35</v>
      </c>
      <c r="B26">
        <v>13</v>
      </c>
      <c r="C26">
        <v>209</v>
      </c>
      <c r="D26">
        <v>44</v>
      </c>
      <c r="E26">
        <v>13</v>
      </c>
      <c r="M26" s="5" cm="1">
        <f ca="1" t="array" ref="M26">SQRT(SUMXMY2($B26:$E26,H$3:H$6))</f>
        <v>200.83726173198</v>
      </c>
      <c r="N26" s="5" cm="1">
        <f ca="1" t="array" ref="N26">SQRT(SUMXMY2($B26:$E26,I$3:I$6))</f>
        <v>152.882821492272</v>
      </c>
      <c r="O26" s="5" cm="1">
        <f ca="1" t="array" ref="O26">SQRT(SUMXMY2($B26:$E26,J$3:J$6))</f>
        <v>79.3150679253318</v>
      </c>
      <c r="P26" s="5" cm="1">
        <f ca="1" t="array" ref="P26">SQRT(SUMXMY2($B26:$E26,K$3:K$6))</f>
        <v>34.0602707096747</v>
      </c>
      <c r="Q26" t="str">
        <f ca="1">INDEX($M$2:$P$2,1,MATCH(MIN(M26:P26),M26:P26,0))</f>
        <v>C4</v>
      </c>
      <c r="R26">
        <v>26</v>
      </c>
      <c r="S26" t="str">
        <f ca="1">INDIRECT($F$1&amp;"!Q"&amp;R26)</f>
        <v>C4</v>
      </c>
      <c r="T26">
        <f ca="1" t="shared" si="1"/>
        <v>0</v>
      </c>
    </row>
    <row r="27" spans="1:20">
      <c r="A27" t="s">
        <v>36</v>
      </c>
      <c r="B27">
        <v>8</v>
      </c>
      <c r="C27">
        <v>80</v>
      </c>
      <c r="D27">
        <v>61</v>
      </c>
      <c r="E27">
        <v>28</v>
      </c>
      <c r="M27" s="5" cm="1">
        <f ca="1" t="array" ref="M27">SQRT(SUMXMY2($B27:$E27,H$3:H$6))</f>
        <v>74.0096324811845</v>
      </c>
      <c r="N27" s="5" cm="1">
        <f ca="1" t="array" ref="N27">SQRT(SUMXMY2($B27:$E27,I$3:I$6))</f>
        <v>26.7814864510715</v>
      </c>
      <c r="O27" s="5" cm="1">
        <f ca="1" t="array" ref="O27">SQRT(SUMXMY2($B27:$E27,J$3:J$6))</f>
        <v>54.7620306416773</v>
      </c>
      <c r="P27" s="5" cm="1">
        <f ca="1" t="array" ref="P27">SQRT(SUMXMY2($B27:$E27,K$3:K$6))</f>
        <v>153.598137212344</v>
      </c>
      <c r="Q27" t="str">
        <f ca="1">INDEX($M$2:$P$2,1,MATCH(MIN(M27:P27),M27:P27,0))</f>
        <v>C2</v>
      </c>
      <c r="R27">
        <v>27</v>
      </c>
      <c r="S27" t="str">
        <f ca="1">INDIRECT($F$1&amp;"!Q"&amp;R27)</f>
        <v>C2</v>
      </c>
      <c r="T27">
        <f ca="1" t="shared" si="1"/>
        <v>0</v>
      </c>
    </row>
    <row r="28" spans="1:20">
      <c r="A28" t="s">
        <v>37</v>
      </c>
      <c r="B28">
        <v>5</v>
      </c>
      <c r="C28">
        <v>19</v>
      </c>
      <c r="D28">
        <v>45</v>
      </c>
      <c r="E28">
        <v>15</v>
      </c>
      <c r="M28" s="5" cm="1">
        <f ca="1" t="array" ref="M28">SQRT(SUMXMY2($B28:$E28,H$3:H$6))</f>
        <v>13.6662247896045</v>
      </c>
      <c r="N28" s="5" cm="1">
        <f ca="1" t="array" ref="N28">SQRT(SUMXMY2($B28:$E28,I$3:I$6))</f>
        <v>40.2416882234627</v>
      </c>
      <c r="O28" s="5" cm="1">
        <f ca="1" t="array" ref="O28">SQRT(SUMXMY2($B28:$E28,J$3:J$6))</f>
        <v>117.15237940392</v>
      </c>
      <c r="P28" s="5" cm="1">
        <f ca="1" t="array" ref="P28">SQRT(SUMXMY2($B28:$E28,K$3:K$6))</f>
        <v>215.704730157326</v>
      </c>
      <c r="Q28" t="str">
        <f ca="1">INDEX($M$2:$P$2,1,MATCH(MIN(M28:P28),M28:P28,0))</f>
        <v>C1</v>
      </c>
      <c r="R28">
        <v>28</v>
      </c>
      <c r="S28" t="str">
        <f ca="1">INDIRECT($F$1&amp;"!Q"&amp;R28)</f>
        <v>C1</v>
      </c>
      <c r="T28">
        <f ca="1" t="shared" si="1"/>
        <v>0</v>
      </c>
    </row>
    <row r="29" spans="1:20">
      <c r="A29" t="s">
        <v>38</v>
      </c>
      <c r="B29">
        <v>4</v>
      </c>
      <c r="C29">
        <v>10</v>
      </c>
      <c r="D29">
        <v>56</v>
      </c>
      <c r="E29">
        <v>13</v>
      </c>
      <c r="M29" s="5" cm="1">
        <f ca="1" t="array" ref="M29">SQRT(SUMXMY2($B29:$E29,H$3:H$6))</f>
        <v>4.41652578391658</v>
      </c>
      <c r="N29" s="5" cm="1">
        <f ca="1" t="array" ref="N29">SQRT(SUMXMY2($B29:$E29,I$3:I$6))</f>
        <v>47.2002775240475</v>
      </c>
      <c r="O29" s="5" cm="1">
        <f ca="1" t="array" ref="O29">SQRT(SUMXMY2($B29:$E29,J$3:J$6))</f>
        <v>124.608506932713</v>
      </c>
      <c r="P29" s="5" cm="1">
        <f ca="1" t="array" ref="P29">SQRT(SUMXMY2($B29:$E29,K$3:K$6))</f>
        <v>224.211862272435</v>
      </c>
      <c r="Q29" t="str">
        <f ca="1">INDEX($M$2:$P$2,1,MATCH(MIN(M29:P29),M29:P29,0))</f>
        <v>C1</v>
      </c>
      <c r="R29">
        <v>29</v>
      </c>
      <c r="S29" t="str">
        <f ca="1">INDIRECT($F$1&amp;"!Q"&amp;R29)</f>
        <v>C1</v>
      </c>
      <c r="T29">
        <f ca="1" t="shared" si="1"/>
        <v>0</v>
      </c>
    </row>
    <row r="30" spans="1:20">
      <c r="A30" t="s">
        <v>39</v>
      </c>
      <c r="B30">
        <v>11</v>
      </c>
      <c r="C30">
        <v>239</v>
      </c>
      <c r="D30">
        <v>75</v>
      </c>
      <c r="E30">
        <v>43</v>
      </c>
      <c r="M30" s="5" cm="1">
        <f ca="1" t="array" ref="M30">SQRT(SUMXMY2($B30:$E30,H$3:H$6))</f>
        <v>233.782475177247</v>
      </c>
      <c r="N30" s="5" cm="1">
        <f ca="1" t="array" ref="N30">SQRT(SUMXMY2($B30:$E30,I$3:I$6))</f>
        <v>184.956045928809</v>
      </c>
      <c r="O30" s="5" cm="1">
        <f ca="1" t="array" ref="O30">SQRT(SUMXMY2($B30:$E30,J$3:J$6))</f>
        <v>107.943874305122</v>
      </c>
      <c r="P30" s="5" cm="1">
        <f ca="1" t="array" ref="P30">SQRT(SUMXMY2($B30:$E30,K$3:K$6))</f>
        <v>20.7698761455633</v>
      </c>
      <c r="Q30" t="str">
        <f ca="1">INDEX($M$2:$P$2,1,MATCH(MIN(M30:P30),M30:P30,0))</f>
        <v>C4</v>
      </c>
      <c r="R30">
        <v>30</v>
      </c>
      <c r="S30" t="str">
        <f ca="1">INDIRECT($F$1&amp;"!Q"&amp;R30)</f>
        <v>C4</v>
      </c>
      <c r="T30">
        <f ca="1" t="shared" si="1"/>
        <v>0</v>
      </c>
    </row>
    <row r="31" spans="1:20">
      <c r="A31" t="s">
        <v>40</v>
      </c>
      <c r="B31">
        <v>0</v>
      </c>
      <c r="C31">
        <v>0.1</v>
      </c>
      <c r="D31">
        <v>53</v>
      </c>
      <c r="E31">
        <v>6</v>
      </c>
      <c r="M31" s="5" cm="1">
        <f ca="1" t="array" ref="M31">SQRT(SUMXMY2($B31:$E31,H$3:H$6))</f>
        <v>10.2697468323226</v>
      </c>
      <c r="N31" s="5" cm="1">
        <f ca="1" t="array" ref="N31">SQRT(SUMXMY2($B31:$E31,I$3:I$6))</f>
        <v>58.0484422951431</v>
      </c>
      <c r="O31" s="5" cm="1">
        <f ca="1" t="array" ref="O31">SQRT(SUMXMY2($B31:$E31,J$3:J$6))</f>
        <v>135.46708087207</v>
      </c>
      <c r="P31" s="5" cm="1">
        <f ca="1" t="array" ref="P31">SQRT(SUMXMY2($B31:$E31,K$3:K$6))</f>
        <v>234.860379279056</v>
      </c>
      <c r="Q31" t="str">
        <f ca="1">INDEX($M$2:$P$2,1,MATCH(MIN(M31:P31),M31:P31,0))</f>
        <v>C1</v>
      </c>
      <c r="R31">
        <v>31</v>
      </c>
      <c r="S31" t="str">
        <f ca="1">INDIRECT($F$1&amp;"!Q"&amp;R31)</f>
        <v>C1</v>
      </c>
      <c r="T31">
        <f ca="1" t="shared" si="1"/>
        <v>0</v>
      </c>
    </row>
    <row r="32" spans="1:20">
      <c r="A32" t="s">
        <v>41</v>
      </c>
      <c r="B32">
        <v>5</v>
      </c>
      <c r="C32">
        <v>155</v>
      </c>
      <c r="D32">
        <v>87</v>
      </c>
      <c r="E32">
        <v>19</v>
      </c>
      <c r="M32" s="5" cm="1">
        <f ca="1" t="array" ref="M32">SQRT(SUMXMY2($B32:$E32,H$3:H$6))</f>
        <v>150.574518760646</v>
      </c>
      <c r="N32" s="5" cm="1">
        <f ca="1" t="array" ref="N32">SQRT(SUMXMY2($B32:$E32,I$3:I$6))</f>
        <v>102.24628385415</v>
      </c>
      <c r="O32" s="5" cm="1">
        <f ca="1" t="array" ref="O32">SQRT(SUMXMY2($B32:$E32,J$3:J$6))</f>
        <v>28.8977507775259</v>
      </c>
      <c r="P32" s="5" cm="1">
        <f ca="1" t="array" ref="P32">SQRT(SUMXMY2($B32:$E32,K$3:K$6))</f>
        <v>82.8662556565132</v>
      </c>
      <c r="Q32" t="str">
        <f ca="1">INDEX($M$2:$P$2,1,MATCH(MIN(M32:P32),M32:P32,0))</f>
        <v>C3</v>
      </c>
      <c r="R32">
        <v>32</v>
      </c>
      <c r="S32" t="str">
        <f ca="1">INDIRECT($F$1&amp;"!Q"&amp;R32)</f>
        <v>C3</v>
      </c>
      <c r="T32">
        <f ca="1" t="shared" si="1"/>
        <v>0</v>
      </c>
    </row>
    <row r="33" spans="1:20">
      <c r="A33" t="s">
        <v>42</v>
      </c>
      <c r="B33">
        <v>12</v>
      </c>
      <c r="C33">
        <v>229</v>
      </c>
      <c r="D33">
        <v>64</v>
      </c>
      <c r="E33">
        <v>32</v>
      </c>
      <c r="M33" s="5" cm="1">
        <f ca="1" t="array" ref="M33">SQRT(SUMXMY2($B33:$E33,H$3:H$6))</f>
        <v>221.844598086138</v>
      </c>
      <c r="N33" s="5" cm="1">
        <f ca="1" t="array" ref="N33">SQRT(SUMXMY2($B33:$E33,I$3:I$6))</f>
        <v>173.047793761203</v>
      </c>
      <c r="O33" s="5" cm="1">
        <f ca="1" t="array" ref="O33">SQRT(SUMXMY2($B33:$E33,J$3:J$6))</f>
        <v>96.0878764465112</v>
      </c>
      <c r="P33" s="5" cm="1">
        <f ca="1" t="array" ref="P33">SQRT(SUMXMY2($B33:$E33,K$3:K$6))</f>
        <v>6.9355634822505</v>
      </c>
      <c r="Q33" t="str">
        <f ca="1">INDEX($M$2:$P$2,1,MATCH(MIN(M33:P33),M33:P33,0))</f>
        <v>C4</v>
      </c>
      <c r="R33">
        <v>33</v>
      </c>
      <c r="S33" t="str">
        <f ca="1">INDIRECT($F$1&amp;"!Q"&amp;R33)</f>
        <v>C4</v>
      </c>
      <c r="T33">
        <f ca="1" t="shared" si="1"/>
        <v>0</v>
      </c>
    </row>
    <row r="34" spans="1:20">
      <c r="A34" t="s">
        <v>43</v>
      </c>
      <c r="B34">
        <v>9</v>
      </c>
      <c r="C34">
        <v>161</v>
      </c>
      <c r="D34">
        <v>85</v>
      </c>
      <c r="E34">
        <v>23</v>
      </c>
      <c r="M34" s="5" cm="1">
        <f ca="1" t="array" ref="M34">SQRT(SUMXMY2($B34:$E34,H$3:H$6))</f>
        <v>156.356406008836</v>
      </c>
      <c r="N34" s="5" cm="1">
        <f ca="1" t="array" ref="N34">SQRT(SUMXMY2($B34:$E34,I$3:I$6))</f>
        <v>107.836799327763</v>
      </c>
      <c r="O34" s="5" cm="1">
        <f ca="1" t="array" ref="O34">SQRT(SUMXMY2($B34:$E34,J$3:J$6))</f>
        <v>32.4326995484495</v>
      </c>
      <c r="P34" s="5" cm="1">
        <f ca="1" t="array" ref="P34">SQRT(SUMXMY2($B34:$E34,K$3:K$6))</f>
        <v>76.0899038597616</v>
      </c>
      <c r="Q34" t="str">
        <f ca="1">INDEX($M$2:$P$2,1,MATCH(MIN(M34:P34),M34:P34,0))</f>
        <v>C3</v>
      </c>
      <c r="R34">
        <v>34</v>
      </c>
      <c r="S34" t="str">
        <f ca="1">INDIRECT($F$1&amp;"!Q"&amp;R34)</f>
        <v>C3</v>
      </c>
      <c r="T34">
        <f ca="1" t="shared" si="1"/>
        <v>0</v>
      </c>
    </row>
    <row r="35" spans="1:20">
      <c r="A35" t="s">
        <v>44</v>
      </c>
      <c r="B35">
        <v>13</v>
      </c>
      <c r="C35">
        <v>321</v>
      </c>
      <c r="D35">
        <v>45</v>
      </c>
      <c r="E35">
        <v>13</v>
      </c>
      <c r="M35" s="5" cm="1">
        <f ca="1" t="array" ref="M35">SQRT(SUMXMY2($B35:$E35,H$3:H$6))</f>
        <v>312.640441561868</v>
      </c>
      <c r="N35" s="5" cm="1">
        <f ca="1" t="array" ref="N35">SQRT(SUMXMY2($B35:$E35,I$3:I$6))</f>
        <v>264.420417342228</v>
      </c>
      <c r="O35" s="5" cm="1">
        <f ca="1" t="array" ref="O35">SQRT(SUMXMY2($B35:$E35,J$3:J$6))</f>
        <v>188.768323613894</v>
      </c>
      <c r="P35" s="5" cm="1">
        <f ca="1" t="array" ref="P35">SQRT(SUMXMY2($B35:$E35,K$3:K$6))</f>
        <v>90.3546301175179</v>
      </c>
      <c r="Q35" t="str">
        <f ca="1">INDEX($M$2:$P$2,1,MATCH(MIN(M35:P35),M35:P35,0))</f>
        <v>C4</v>
      </c>
      <c r="R35">
        <v>35</v>
      </c>
      <c r="S35" t="str">
        <f ca="1">INDIRECT($F$1&amp;"!Q"&amp;R35)</f>
        <v>C4</v>
      </c>
      <c r="T35">
        <f ca="1" t="shared" si="1"/>
        <v>0</v>
      </c>
    </row>
    <row r="36" spans="1:20">
      <c r="A36" t="s">
        <v>45</v>
      </c>
      <c r="B36">
        <v>0.1</v>
      </c>
      <c r="C36">
        <v>27</v>
      </c>
      <c r="D36">
        <v>44</v>
      </c>
      <c r="E36">
        <v>6</v>
      </c>
      <c r="M36" s="5" cm="1">
        <f ca="1" t="array" ref="M36">SQRT(SUMXMY2($B36:$E36,H$3:H$6))</f>
        <v>21.0469403952213</v>
      </c>
      <c r="N36" s="5" cm="1">
        <f ca="1" t="array" ref="N36">SQRT(SUMXMY2($B36:$E36,I$3:I$6))</f>
        <v>34.5580120716905</v>
      </c>
      <c r="O36" s="5" cm="1">
        <f ca="1" t="array" ref="O36">SQRT(SUMXMY2($B36:$E36,J$3:J$6))</f>
        <v>110.562787591486</v>
      </c>
      <c r="P36" s="5" cm="1">
        <f ca="1" t="array" ref="P36">SQRT(SUMXMY2($B36:$E36,K$3:K$6))</f>
        <v>208.742624946099</v>
      </c>
      <c r="Q36" t="str">
        <f ca="1">INDEX($M$2:$P$2,1,MATCH(MIN(M36:P36),M36:P36,0))</f>
        <v>C1</v>
      </c>
      <c r="R36">
        <v>36</v>
      </c>
      <c r="S36" t="str">
        <f ca="1">INDIRECT($F$1&amp;"!Q"&amp;R36)</f>
        <v>C1</v>
      </c>
      <c r="T36">
        <f ca="1" t="shared" si="1"/>
        <v>0</v>
      </c>
    </row>
    <row r="37" spans="1:20">
      <c r="A37" t="s">
        <v>46</v>
      </c>
      <c r="B37">
        <v>8</v>
      </c>
      <c r="C37">
        <v>119</v>
      </c>
      <c r="D37">
        <v>73</v>
      </c>
      <c r="E37">
        <v>18</v>
      </c>
      <c r="M37" s="5" cm="1">
        <f ca="1" t="array" ref="M37">SQRT(SUMXMY2($B37:$E37,H$3:H$6))</f>
        <v>112.579330696181</v>
      </c>
      <c r="N37" s="5" cm="1">
        <f ca="1" t="array" ref="N37">SQRT(SUMXMY2($B37:$E37,I$3:I$6))</f>
        <v>63.98915261896</v>
      </c>
      <c r="O37" s="5" cm="1">
        <f ca="1" t="array" ref="O37">SQRT(SUMXMY2($B37:$E37,J$3:J$6))</f>
        <v>15.9084883002754</v>
      </c>
      <c r="P37" s="5" cm="1">
        <f ca="1" t="array" ref="P37">SQRT(SUMXMY2($B37:$E37,K$3:K$6))</f>
        <v>115.441830921597</v>
      </c>
      <c r="Q37" t="str">
        <f ca="1">INDEX($M$2:$P$2,1,MATCH(MIN(M37:P37),M37:P37,0))</f>
        <v>C3</v>
      </c>
      <c r="R37">
        <v>37</v>
      </c>
      <c r="S37" t="str">
        <f ca="1">INDIRECT($F$1&amp;"!Q"&amp;R37)</f>
        <v>C3</v>
      </c>
      <c r="T37">
        <f ca="1" t="shared" si="1"/>
        <v>0</v>
      </c>
    </row>
    <row r="38" spans="1:20">
      <c r="A38" t="s">
        <v>47</v>
      </c>
      <c r="B38">
        <v>4</v>
      </c>
      <c r="C38">
        <v>116</v>
      </c>
      <c r="D38">
        <v>59</v>
      </c>
      <c r="E38">
        <v>20</v>
      </c>
      <c r="M38" s="5" cm="1">
        <f ca="1" t="array" ref="M38">SQRT(SUMXMY2($B38:$E38,H$3:H$6))</f>
        <v>107.923239851294</v>
      </c>
      <c r="N38" s="5" cm="1">
        <f ca="1" t="array" ref="N38">SQRT(SUMXMY2($B38:$E38,I$3:I$6))</f>
        <v>59.1043208555995</v>
      </c>
      <c r="O38" s="5" cm="1">
        <f ca="1" t="array" ref="O38">SQRT(SUMXMY2($B38:$E38,J$3:J$6))</f>
        <v>20.1315672514586</v>
      </c>
      <c r="P38" s="5" cm="1">
        <f ca="1" t="array" ref="P38">SQRT(SUMXMY2($B38:$E38,K$3:K$6))</f>
        <v>118.018590718166</v>
      </c>
      <c r="Q38" t="str">
        <f ca="1">INDEX($M$2:$P$2,1,MATCH(MIN(M38:P38),M38:P38,0))</f>
        <v>C3</v>
      </c>
      <c r="R38">
        <v>38</v>
      </c>
      <c r="S38" t="str">
        <f ca="1">INDIRECT($F$1&amp;"!Q"&amp;R38)</f>
        <v>C3</v>
      </c>
      <c r="T38">
        <f ca="1" t="shared" si="1"/>
        <v>0</v>
      </c>
    </row>
    <row r="39" spans="1:20">
      <c r="A39" t="s">
        <v>48</v>
      </c>
      <c r="B39">
        <v>4</v>
      </c>
      <c r="C39">
        <v>103</v>
      </c>
      <c r="D39">
        <v>58</v>
      </c>
      <c r="E39">
        <v>29</v>
      </c>
      <c r="M39" s="5" cm="1">
        <f ca="1" t="array" ref="M39">SQRT(SUMXMY2($B39:$E39,H$3:H$6))</f>
        <v>96.1907776244688</v>
      </c>
      <c r="N39" s="5" cm="1">
        <f ca="1" t="array" ref="N39">SQRT(SUMXMY2($B39:$E39,I$3:I$6))</f>
        <v>47.8762877176148</v>
      </c>
      <c r="O39" s="5" cm="1">
        <f ca="1" t="array" ref="O39">SQRT(SUMXMY2($B39:$E39,J$3:J$6))</f>
        <v>33.6553116164447</v>
      </c>
      <c r="P39" s="5" cm="1">
        <f ca="1" t="array" ref="P39">SQRT(SUMXMY2($B39:$E39,K$3:K$6))</f>
        <v>130.813779465159</v>
      </c>
      <c r="Q39" t="str">
        <f ca="1">INDEX($M$2:$P$2,1,MATCH(MIN(M39:P39),M39:P39,0))</f>
        <v>C3</v>
      </c>
      <c r="R39">
        <v>39</v>
      </c>
      <c r="S39" t="str">
        <f ca="1">INDIRECT($F$1&amp;"!Q"&amp;R39)</f>
        <v>C3</v>
      </c>
      <c r="T39">
        <f ca="1" t="shared" si="1"/>
        <v>0</v>
      </c>
    </row>
    <row r="40" spans="1:20">
      <c r="A40" t="s">
        <v>49</v>
      </c>
      <c r="B40">
        <v>4</v>
      </c>
      <c r="C40">
        <v>57</v>
      </c>
      <c r="D40">
        <v>67</v>
      </c>
      <c r="E40">
        <v>13</v>
      </c>
      <c r="M40" s="5" cm="1">
        <f ca="1" t="array" ref="M40">SQRT(SUMXMY2($B40:$E40,H$3:H$6))</f>
        <v>50.5187658202375</v>
      </c>
      <c r="N40" s="5" cm="1">
        <f ca="1" t="array" ref="N40">SQRT(SUMXMY2($B40:$E40,I$3:I$6))</f>
        <v>9.55618876967449</v>
      </c>
      <c r="O40" s="5" cm="1">
        <f ca="1" t="array" ref="O40">SQRT(SUMXMY2($B40:$E40,J$3:J$6))</f>
        <v>77.2326355888494</v>
      </c>
      <c r="P40" s="5" cm="1">
        <f ca="1" t="array" ref="P40">SQRT(SUMXMY2($B40:$E40,K$3:K$6))</f>
        <v>177.315181158827</v>
      </c>
      <c r="Q40" t="str">
        <f ca="1">INDEX($M$2:$P$2,1,MATCH(MIN(M40:P40),M40:P40,0))</f>
        <v>C2</v>
      </c>
      <c r="R40">
        <v>40</v>
      </c>
      <c r="S40" t="str">
        <f ca="1">INDIRECT($F$1&amp;"!Q"&amp;R40)</f>
        <v>C2</v>
      </c>
      <c r="T40">
        <f ca="1" t="shared" si="1"/>
        <v>0</v>
      </c>
    </row>
    <row r="41" spans="1:20">
      <c r="A41" t="s">
        <v>50</v>
      </c>
      <c r="B41">
        <v>2</v>
      </c>
      <c r="C41">
        <v>97</v>
      </c>
      <c r="D41">
        <v>83</v>
      </c>
      <c r="E41">
        <v>5</v>
      </c>
      <c r="M41" s="5" cm="1">
        <f ca="1" t="array" ref="M41">SQRT(SUMXMY2($B41:$E41,H$3:H$6))</f>
        <v>93.6492696180809</v>
      </c>
      <c r="N41" s="5" cm="1">
        <f ca="1" t="array" ref="N41">SQRT(SUMXMY2($B41:$E41,I$3:I$6))</f>
        <v>48.3443408193368</v>
      </c>
      <c r="O41" s="5" cm="1">
        <f ca="1" t="array" ref="O41">SQRT(SUMXMY2($B41:$E41,J$3:J$6))</f>
        <v>43.082246923762</v>
      </c>
      <c r="P41" s="5" cm="1">
        <f ca="1" t="array" ref="P41">SQRT(SUMXMY2($B41:$E41,K$3:K$6))</f>
        <v>140.122759589947</v>
      </c>
      <c r="Q41" t="str">
        <f ca="1">INDEX($M$2:$P$2,1,MATCH(MIN(M41:P41),M41:P41,0))</f>
        <v>C3</v>
      </c>
      <c r="R41">
        <v>41</v>
      </c>
      <c r="S41" t="str">
        <f ca="1">INDIRECT($F$1&amp;"!Q"&amp;R41)</f>
        <v>C3</v>
      </c>
      <c r="T41">
        <f ca="1" t="shared" si="1"/>
        <v>0</v>
      </c>
    </row>
    <row r="42" spans="1:20">
      <c r="A42" t="s">
        <v>51</v>
      </c>
      <c r="B42">
        <v>13</v>
      </c>
      <c r="C42">
        <v>210</v>
      </c>
      <c r="D42">
        <v>46</v>
      </c>
      <c r="E42">
        <v>21</v>
      </c>
      <c r="M42" s="5" cm="1">
        <f ca="1" t="array" ref="M42">SQRT(SUMXMY2($B42:$E42,H$3:H$6))</f>
        <v>201.989419772423</v>
      </c>
      <c r="N42" s="5" cm="1">
        <f ca="1" t="array" ref="N42">SQRT(SUMXMY2($B42:$E42,I$3:I$6))</f>
        <v>153.790213715668</v>
      </c>
      <c r="O42" s="5" cm="1">
        <f ca="1" t="array" ref="O42">SQRT(SUMXMY2($B42:$E42,J$3:J$6))</f>
        <v>79.3768228137156</v>
      </c>
      <c r="P42" s="5" cm="1">
        <f ca="1" t="array" ref="P42">SQRT(SUMXMY2($B42:$E42,K$3:K$6))</f>
        <v>29.6159085765797</v>
      </c>
      <c r="Q42" t="str">
        <f ca="1">INDEX($M$2:$P$2,1,MATCH(MIN(M42:P42),M42:P42,0))</f>
        <v>C4</v>
      </c>
      <c r="R42">
        <v>42</v>
      </c>
      <c r="S42" t="str">
        <f ca="1">INDIRECT($F$1&amp;"!Q"&amp;R42)</f>
        <v>C4</v>
      </c>
      <c r="T42">
        <f ca="1" t="shared" si="1"/>
        <v>0</v>
      </c>
    </row>
    <row r="43" spans="1:20">
      <c r="A43" t="s">
        <v>52</v>
      </c>
      <c r="B43">
        <v>3</v>
      </c>
      <c r="C43">
        <v>1</v>
      </c>
      <c r="D43">
        <v>43</v>
      </c>
      <c r="E43">
        <v>12</v>
      </c>
      <c r="M43" s="5" cm="1">
        <f ca="1" t="array" ref="M43">SQRT(SUMXMY2($B43:$E43,H$3:H$6))</f>
        <v>12.3144508606758</v>
      </c>
      <c r="N43" s="5" cm="1">
        <f ca="1" t="array" ref="N43">SQRT(SUMXMY2($B43:$E43,I$3:I$6))</f>
        <v>58.1180054886906</v>
      </c>
      <c r="O43" s="5" cm="1">
        <f ca="1" t="array" ref="O43">SQRT(SUMXMY2($B43:$E43,J$3:J$6))</f>
        <v>135.393057429102</v>
      </c>
      <c r="P43" s="5" cm="1">
        <f ca="1" t="array" ref="P43">SQRT(SUMXMY2($B43:$E43,K$3:K$6))</f>
        <v>234.006933439929</v>
      </c>
      <c r="Q43" t="str">
        <f ca="1">INDEX($M$2:$P$2,1,MATCH(MIN(M43:P43),M43:P43,0))</f>
        <v>C1</v>
      </c>
      <c r="R43">
        <v>43</v>
      </c>
      <c r="S43" t="str">
        <f ca="1">INDIRECT($F$1&amp;"!Q"&amp;R43)</f>
        <v>C1</v>
      </c>
      <c r="T43">
        <f ca="1" t="shared" si="1"/>
        <v>0</v>
      </c>
    </row>
    <row r="44" spans="1:20">
      <c r="A44" t="s">
        <v>53</v>
      </c>
      <c r="B44">
        <v>14</v>
      </c>
      <c r="C44">
        <v>96</v>
      </c>
      <c r="D44">
        <v>58</v>
      </c>
      <c r="E44">
        <v>27</v>
      </c>
      <c r="M44" s="5" cm="1">
        <f ca="1" t="array" ref="M44">SQRT(SUMXMY2($B44:$E44,H$3:H$6))</f>
        <v>89.706330322893</v>
      </c>
      <c r="N44" s="5" cm="1">
        <f ca="1" t="array" ref="N44">SQRT(SUMXMY2($B44:$E44,I$3:I$6))</f>
        <v>42.0481630577238</v>
      </c>
      <c r="O44" s="5" cm="1">
        <f ca="1" t="array" ref="O44">SQRT(SUMXMY2($B44:$E44,J$3:J$6))</f>
        <v>40.0709370990997</v>
      </c>
      <c r="P44" s="5" cm="1">
        <f ca="1" t="array" ref="P44">SQRT(SUMXMY2($B44:$E44,K$3:K$6))</f>
        <v>137.697761308555</v>
      </c>
      <c r="Q44" t="str">
        <f ca="1">INDEX($M$2:$P$2,1,MATCH(MIN(M44:P44),M44:P44,0))</f>
        <v>C3</v>
      </c>
      <c r="R44">
        <v>44</v>
      </c>
      <c r="S44" t="str">
        <f ca="1">INDIRECT($F$1&amp;"!Q"&amp;R44)</f>
        <v>C3</v>
      </c>
      <c r="T44">
        <f ca="1" t="shared" si="1"/>
        <v>0</v>
      </c>
    </row>
    <row r="45" spans="1:20">
      <c r="A45" t="s">
        <v>54</v>
      </c>
      <c r="B45">
        <v>13</v>
      </c>
      <c r="C45">
        <v>137</v>
      </c>
      <c r="D45">
        <v>79</v>
      </c>
      <c r="E45">
        <v>25</v>
      </c>
      <c r="M45" s="5" cm="1">
        <f ca="1" t="array" ref="M45">SQRT(SUMXMY2($B45:$E45,H$3:H$6))</f>
        <v>132.20425749574</v>
      </c>
      <c r="N45" s="5" cm="1">
        <f ca="1" t="array" ref="N45">SQRT(SUMXMY2($B45:$E45,I$3:I$6))</f>
        <v>83.8156679765013</v>
      </c>
      <c r="O45" s="5" cm="1">
        <f ca="1" t="array" ref="O45">SQRT(SUMXMY2($B45:$E45,J$3:J$6))</f>
        <v>13.7942016804163</v>
      </c>
      <c r="P45" s="5" cm="1">
        <f ca="1" t="array" ref="P45">SQRT(SUMXMY2($B45:$E45,K$3:K$6))</f>
        <v>98.0231126431155</v>
      </c>
      <c r="Q45" t="str">
        <f ca="1">INDEX($M$2:$P$2,1,MATCH(MIN(M45:P45),M45:P45,0))</f>
        <v>C3</v>
      </c>
      <c r="R45">
        <v>45</v>
      </c>
      <c r="S45" t="str">
        <f ca="1">INDIRECT($F$1&amp;"!Q"&amp;R45)</f>
        <v>C3</v>
      </c>
      <c r="T45">
        <f ca="1" t="shared" si="1"/>
        <v>0</v>
      </c>
    </row>
    <row r="46" spans="1:20">
      <c r="A46" t="s">
        <v>55</v>
      </c>
      <c r="B46">
        <v>0</v>
      </c>
      <c r="C46">
        <v>49</v>
      </c>
      <c r="D46">
        <v>74</v>
      </c>
      <c r="E46">
        <v>21</v>
      </c>
      <c r="M46" s="5" cm="1">
        <f ca="1" t="array" ref="M46">SQRT(SUMXMY2($B46:$E46,H$3:H$6))</f>
        <v>46.7789022958</v>
      </c>
      <c r="N46" s="5" cm="1">
        <f ca="1" t="array" ref="N46">SQRT(SUMXMY2($B46:$E46,I$3:I$6))</f>
        <v>19.1603951890782</v>
      </c>
      <c r="O46" s="5" cm="1">
        <f ca="1" t="array" ref="O46">SQRT(SUMXMY2($B46:$E46,J$3:J$6))</f>
        <v>85.4018735157491</v>
      </c>
      <c r="P46" s="5" cm="1">
        <f ca="1" t="array" ref="P46">SQRT(SUMXMY2($B46:$E46,K$3:K$6))</f>
        <v>185.31737806327</v>
      </c>
      <c r="Q46" t="str">
        <f ca="1">INDEX($M$2:$P$2,1,MATCH(MIN(M46:P46),M46:P46,0))</f>
        <v>C2</v>
      </c>
      <c r="R46">
        <v>46</v>
      </c>
      <c r="S46" t="str">
        <f ca="1">INDIRECT($F$1&amp;"!Q"&amp;R46)</f>
        <v>C2</v>
      </c>
      <c r="T46">
        <f ca="1" t="shared" si="1"/>
        <v>0</v>
      </c>
    </row>
    <row r="47" spans="1:20">
      <c r="A47" t="s">
        <v>56</v>
      </c>
      <c r="B47">
        <v>0.1</v>
      </c>
      <c r="C47">
        <v>44</v>
      </c>
      <c r="D47">
        <v>24</v>
      </c>
      <c r="E47">
        <v>8</v>
      </c>
      <c r="M47" s="5" cm="1">
        <f ca="1" t="array" ref="M47">SQRT(SUMXMY2($B47:$E47,H$3:H$6))</f>
        <v>45.6444268229978</v>
      </c>
      <c r="N47" s="5" cm="1">
        <f ca="1" t="array" ref="N47">SQRT(SUMXMY2($B47:$E47,I$3:I$6))</f>
        <v>37.1358907280449</v>
      </c>
      <c r="O47" s="5" cm="1">
        <f ca="1" t="array" ref="O47">SQRT(SUMXMY2($B47:$E47,J$3:J$6))</f>
        <v>100.861935337371</v>
      </c>
      <c r="P47" s="5" cm="1">
        <f ca="1" t="array" ref="P47">SQRT(SUMXMY2($B47:$E47,K$3:K$6))</f>
        <v>194.681198844864</v>
      </c>
      <c r="Q47" t="str">
        <f ca="1">INDEX($M$2:$P$2,1,MATCH(MIN(M47:P47),M47:P47,0))</f>
        <v>C2</v>
      </c>
      <c r="R47">
        <v>47</v>
      </c>
      <c r="S47" t="str">
        <f ca="1">INDIRECT($F$1&amp;"!Q"&amp;R47)</f>
        <v>C2</v>
      </c>
      <c r="T47">
        <f ca="1" t="shared" si="1"/>
        <v>0</v>
      </c>
    </row>
    <row r="48" spans="1:20">
      <c r="A48" t="s">
        <v>57</v>
      </c>
      <c r="B48">
        <v>7</v>
      </c>
      <c r="C48">
        <v>100</v>
      </c>
      <c r="D48">
        <v>58</v>
      </c>
      <c r="E48">
        <v>16</v>
      </c>
      <c r="M48" s="5" cm="1">
        <f ca="1" t="array" ref="M48">SQRT(SUMXMY2($B48:$E48,H$3:H$6))</f>
        <v>91.7651660489971</v>
      </c>
      <c r="N48" s="5" cm="1">
        <f ca="1" t="array" ref="N48">SQRT(SUMXMY2($B48:$E48,I$3:I$6))</f>
        <v>43.0981208004354</v>
      </c>
      <c r="O48" s="5" cm="1">
        <f ca="1" t="array" ref="O48">SQRT(SUMXMY2($B48:$E48,J$3:J$6))</f>
        <v>35.396044976805</v>
      </c>
      <c r="P48" s="5" cm="1">
        <f ca="1" t="array" ref="P48">SQRT(SUMXMY2($B48:$E48,K$3:K$6))</f>
        <v>134.16552372015</v>
      </c>
      <c r="Q48" t="str">
        <f ca="1">INDEX($M$2:$P$2,1,MATCH(MIN(M48:P48),M48:P48,0))</f>
        <v>C3</v>
      </c>
      <c r="R48">
        <v>48</v>
      </c>
      <c r="S48" t="str">
        <f ca="1">INDIRECT($F$1&amp;"!Q"&amp;R48)</f>
        <v>C3</v>
      </c>
      <c r="T48">
        <f ca="1" t="shared" si="1"/>
        <v>0</v>
      </c>
    </row>
    <row r="49" spans="1:20">
      <c r="A49" t="s">
        <v>58</v>
      </c>
      <c r="B49">
        <v>1</v>
      </c>
      <c r="C49">
        <v>62</v>
      </c>
      <c r="D49">
        <v>73</v>
      </c>
      <c r="E49">
        <v>24</v>
      </c>
      <c r="M49" s="5" cm="1">
        <f ca="1" t="array" ref="M49">SQRT(SUMXMY2($B49:$E49,H$3:H$6))</f>
        <v>58.5577125577835</v>
      </c>
      <c r="N49" s="5" cm="1">
        <f ca="1" t="array" ref="N49">SQRT(SUMXMY2($B49:$E49,I$3:I$6))</f>
        <v>18.2112057955789</v>
      </c>
      <c r="O49" s="5" cm="1">
        <f ca="1" t="array" ref="O49">SQRT(SUMXMY2($B49:$E49,J$3:J$6))</f>
        <v>72.4229245474111</v>
      </c>
      <c r="P49" s="5" cm="1">
        <f ca="1" t="array" ref="P49">SQRT(SUMXMY2($B49:$E49,K$3:K$6))</f>
        <v>172.170063054658</v>
      </c>
      <c r="Q49" t="str">
        <f ca="1">INDEX($M$2:$P$2,1,MATCH(MIN(M49:P49),M49:P49,0))</f>
        <v>C2</v>
      </c>
      <c r="R49">
        <v>49</v>
      </c>
      <c r="S49" t="str">
        <f ca="1">INDIRECT($F$1&amp;"!Q"&amp;R49)</f>
        <v>C2</v>
      </c>
      <c r="T49">
        <f ca="1" t="shared" si="1"/>
        <v>0</v>
      </c>
    </row>
    <row r="50" spans="1:20">
      <c r="A50" t="s">
        <v>59</v>
      </c>
      <c r="B50">
        <v>5</v>
      </c>
      <c r="C50">
        <v>65</v>
      </c>
      <c r="D50">
        <v>34</v>
      </c>
      <c r="E50">
        <v>9</v>
      </c>
      <c r="M50" s="5" cm="1">
        <f ca="1" t="array" ref="M50">SQRT(SUMXMY2($B50:$E50,H$3:H$6))</f>
        <v>59.4515407706142</v>
      </c>
      <c r="N50" s="5" cm="1">
        <f ca="1" t="array" ref="N50">SQRT(SUMXMY2($B50:$E50,I$3:I$6))</f>
        <v>25.9900823424107</v>
      </c>
      <c r="O50" s="5" cm="1">
        <f ca="1" t="array" ref="O50">SQRT(SUMXMY2($B50:$E50,J$3:J$6))</f>
        <v>77.4317764228614</v>
      </c>
      <c r="P50" s="5" cm="1">
        <f ca="1" t="array" ref="P50">SQRT(SUMXMY2($B50:$E50,K$3:K$6))</f>
        <v>172.031855142219</v>
      </c>
      <c r="Q50" t="str">
        <f ca="1">INDEX($M$2:$P$2,1,MATCH(MIN(M50:P50),M50:P50,0))</f>
        <v>C2</v>
      </c>
      <c r="R50">
        <v>50</v>
      </c>
      <c r="S50" t="str">
        <f ca="1">INDIRECT($F$1&amp;"!Q"&amp;R50)</f>
        <v>C2</v>
      </c>
      <c r="T50">
        <f ca="1" t="shared" si="1"/>
        <v>0</v>
      </c>
    </row>
    <row r="51" spans="1:20">
      <c r="A51" t="s">
        <v>60</v>
      </c>
      <c r="B51">
        <v>0</v>
      </c>
      <c r="C51">
        <v>0.1</v>
      </c>
      <c r="D51">
        <v>60</v>
      </c>
      <c r="E51">
        <v>11</v>
      </c>
      <c r="M51" s="5" cm="1">
        <f ca="1" t="array" ref="M51">SQRT(SUMXMY2($B51:$E51,H$3:H$6))</f>
        <v>11.5354973884961</v>
      </c>
      <c r="N51" s="5" cm="1">
        <f ca="1" t="array" ref="N51">SQRT(SUMXMY2($B51:$E51,I$3:I$6))</f>
        <v>57.2854401474979</v>
      </c>
      <c r="O51" s="5" cm="1">
        <f ca="1" t="array" ref="O51">SQRT(SUMXMY2($B51:$E51,J$3:J$6))</f>
        <v>134.457911630369</v>
      </c>
      <c r="P51" s="5" cm="1">
        <f ca="1" t="array" ref="P51">SQRT(SUMXMY2($B51:$E51,K$3:K$6))</f>
        <v>234.278766883055</v>
      </c>
      <c r="Q51" t="str">
        <f ca="1">INDEX($M$2:$P$2,1,MATCH(MIN(M51:P51),M51:P51,0))</f>
        <v>C1</v>
      </c>
      <c r="R51">
        <v>51</v>
      </c>
      <c r="S51" t="str">
        <f ca="1">INDIRECT($F$1&amp;"!Q"&amp;R51)</f>
        <v>C1</v>
      </c>
      <c r="T51">
        <f ca="1" t="shared" si="1"/>
        <v>0</v>
      </c>
    </row>
    <row r="52" spans="1:20">
      <c r="A52" t="s">
        <v>61</v>
      </c>
      <c r="B52">
        <v>6</v>
      </c>
      <c r="C52">
        <v>143</v>
      </c>
      <c r="D52">
        <v>51</v>
      </c>
      <c r="E52">
        <v>11</v>
      </c>
      <c r="M52" s="5" cm="1">
        <f ca="1" t="array" ref="M52">SQRT(SUMXMY2($B52:$E52,H$3:H$6))</f>
        <v>134.420332167422</v>
      </c>
      <c r="N52" s="5" cm="1">
        <f ca="1" t="array" ref="N52">SQRT(SUMXMY2($B52:$E52,I$3:I$6))</f>
        <v>86.3460943907073</v>
      </c>
      <c r="O52" s="5" cm="1">
        <f ca="1" t="array" ref="O52">SQRT(SUMXMY2($B52:$E52,J$3:J$6))</f>
        <v>21.1679002265222</v>
      </c>
      <c r="P52" s="5" cm="1">
        <f ca="1" t="array" ref="P52">SQRT(SUMXMY2($B52:$E52,K$3:K$6))</f>
        <v>92.8475819253671</v>
      </c>
      <c r="Q52" t="str">
        <f ca="1">INDEX($M$2:$P$2,1,MATCH(MIN(M52:P52),M52:P52,0))</f>
        <v>C3</v>
      </c>
      <c r="R52">
        <v>52</v>
      </c>
      <c r="S52" t="str">
        <f ca="1">INDIRECT($F$1&amp;"!Q"&amp;R52)</f>
        <v>C3</v>
      </c>
      <c r="T52">
        <f ca="1" t="shared" si="1"/>
        <v>0</v>
      </c>
    </row>
  </sheetData>
  <mergeCells count="3">
    <mergeCell ref="G1:K1"/>
    <mergeCell ref="M1:P1"/>
    <mergeCell ref="G10:H10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J34" sqref="J34"/>
    </sheetView>
  </sheetViews>
  <sheetFormatPr defaultColWidth="9" defaultRowHeight="15"/>
  <cols>
    <col min="4" max="4" width="9.71428571428571" customWidth="1"/>
  </cols>
  <sheetData>
    <row r="1" spans="1:1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I1">
        <v>1</v>
      </c>
      <c r="J1">
        <v>2</v>
      </c>
      <c r="K1">
        <v>3</v>
      </c>
      <c r="L1">
        <v>4</v>
      </c>
    </row>
    <row r="2" spans="1:12">
      <c r="A2" s="1" t="s">
        <v>25</v>
      </c>
      <c r="B2" s="1">
        <v>7</v>
      </c>
      <c r="C2" s="1">
        <v>26</v>
      </c>
      <c r="D2" s="1">
        <v>65</v>
      </c>
      <c r="E2" s="1">
        <v>19</v>
      </c>
      <c r="F2" s="1" t="s">
        <v>8</v>
      </c>
      <c r="G2" s="1"/>
      <c r="H2" t="s">
        <v>0</v>
      </c>
      <c r="I2" t="s">
        <v>3</v>
      </c>
      <c r="J2" t="s">
        <v>4</v>
      </c>
      <c r="K2" t="s">
        <v>5</v>
      </c>
      <c r="L2" t="s">
        <v>6</v>
      </c>
    </row>
    <row r="3" spans="1:12">
      <c r="A3" s="1" t="s">
        <v>26</v>
      </c>
      <c r="B3" s="1">
        <v>2</v>
      </c>
      <c r="C3" s="1">
        <v>0.1</v>
      </c>
      <c r="D3" s="1">
        <v>53</v>
      </c>
      <c r="E3" s="1">
        <v>9</v>
      </c>
      <c r="F3" s="1" t="s">
        <v>8</v>
      </c>
      <c r="G3" s="1"/>
      <c r="H3" t="s">
        <v>8</v>
      </c>
      <c r="I3">
        <f>AVERAGEIFS(B$2:B$51,$F$2:$F$51,$H3)</f>
        <v>2.31</v>
      </c>
      <c r="J3">
        <f>AVERAGEIFS(C$2:C$51,$F$2:$F$51,$H3)</f>
        <v>8.64</v>
      </c>
      <c r="K3">
        <f>AVERAGEIFS(D$2:D$51,$F$2:$F$51,$H3)</f>
        <v>52.6</v>
      </c>
      <c r="L3">
        <f>AVERAGEIFS(E$2:E$51,$F$2:$F$51,$H3)</f>
        <v>11.2</v>
      </c>
    </row>
    <row r="4" spans="1:12">
      <c r="A4" s="1" t="s">
        <v>30</v>
      </c>
      <c r="B4" s="1">
        <v>1</v>
      </c>
      <c r="C4" s="1">
        <v>0.1</v>
      </c>
      <c r="D4" s="1">
        <v>45</v>
      </c>
      <c r="E4" s="1">
        <v>7</v>
      </c>
      <c r="F4" s="1" t="s">
        <v>8</v>
      </c>
      <c r="G4" s="1"/>
      <c r="H4" t="s">
        <v>9</v>
      </c>
      <c r="I4">
        <f>AVERAGEIFS(B$2:B$51,$F$2:$F$51,$H4)</f>
        <v>3.00909090909091</v>
      </c>
      <c r="J4">
        <f>AVERAGEIFS(C$2:C$51,$F$2:$F$51,$H4)</f>
        <v>57.0909090909091</v>
      </c>
      <c r="K4">
        <f>AVERAGEIFS(D$2:D$51,$F$2:$F$51,$H4)</f>
        <v>57.8181818181818</v>
      </c>
      <c r="L4">
        <f>AVERAGEIFS(E$2:E$51,$F$2:$F$51,$H4)</f>
        <v>15.4545454545455</v>
      </c>
    </row>
    <row r="5" spans="1:12">
      <c r="A5" s="1" t="s">
        <v>34</v>
      </c>
      <c r="B5" s="1">
        <v>1</v>
      </c>
      <c r="C5" s="1">
        <v>3</v>
      </c>
      <c r="D5" s="1">
        <v>62</v>
      </c>
      <c r="E5" s="1">
        <v>14</v>
      </c>
      <c r="F5" s="1" t="s">
        <v>8</v>
      </c>
      <c r="G5" s="1"/>
      <c r="H5" t="s">
        <v>10</v>
      </c>
      <c r="I5">
        <f>AVERAGEIFS(B$2:B$51,$F$2:$F$51,$H5)</f>
        <v>7.8</v>
      </c>
      <c r="J5">
        <f>AVERAGEIFS(C$2:C$51,$F$2:$F$51,$H5)</f>
        <v>133.8</v>
      </c>
      <c r="K5">
        <f>AVERAGEIFS(D$2:D$51,$F$2:$F$51,$H5)</f>
        <v>67.6</v>
      </c>
      <c r="L5">
        <f>AVERAGEIFS(E$2:E$51,$F$2:$F$51,$H5)</f>
        <v>20.2</v>
      </c>
    </row>
    <row r="6" spans="1:12">
      <c r="A6" s="1" t="s">
        <v>37</v>
      </c>
      <c r="B6" s="1">
        <v>5</v>
      </c>
      <c r="C6" s="1">
        <v>19</v>
      </c>
      <c r="D6" s="1">
        <v>45</v>
      </c>
      <c r="E6" s="1">
        <v>15</v>
      </c>
      <c r="F6" s="1" t="s">
        <v>8</v>
      </c>
      <c r="H6" t="s">
        <v>11</v>
      </c>
      <c r="I6">
        <f>AVERAGEIFS(B$2:B$51,$F$2:$F$51,$H6)</f>
        <v>10.2857142857143</v>
      </c>
      <c r="J6">
        <f>AVERAGEIFS(C$2:C$51,$F$2:$F$51,$H6)</f>
        <v>233.571428571429</v>
      </c>
      <c r="K6">
        <f>AVERAGEIFS(D$2:D$51,$F$2:$F$51,$H6)</f>
        <v>62.5714285714286</v>
      </c>
      <c r="L6">
        <f>AVERAGEIFS(E$2:E$51,$F$2:$F$51,$H6)</f>
        <v>27.2857142857143</v>
      </c>
    </row>
    <row r="7" spans="1:6">
      <c r="A7" s="1" t="s">
        <v>38</v>
      </c>
      <c r="B7" s="1">
        <v>4</v>
      </c>
      <c r="C7" s="1">
        <v>10</v>
      </c>
      <c r="D7" s="1">
        <v>56</v>
      </c>
      <c r="E7" s="1">
        <v>13</v>
      </c>
      <c r="F7" s="1" t="s">
        <v>8</v>
      </c>
    </row>
    <row r="8" spans="1:6">
      <c r="A8" s="1" t="s">
        <v>40</v>
      </c>
      <c r="B8" s="1">
        <v>0</v>
      </c>
      <c r="C8" s="1">
        <v>0.1</v>
      </c>
      <c r="D8" s="1">
        <v>53</v>
      </c>
      <c r="E8" s="1">
        <v>6</v>
      </c>
      <c r="F8" s="1" t="s">
        <v>8</v>
      </c>
    </row>
    <row r="9" spans="1:6">
      <c r="A9" s="1" t="s">
        <v>45</v>
      </c>
      <c r="B9" s="1">
        <v>0.1</v>
      </c>
      <c r="C9" s="1">
        <v>27</v>
      </c>
      <c r="D9" s="1">
        <v>44</v>
      </c>
      <c r="E9" s="1">
        <v>6</v>
      </c>
      <c r="F9" s="1" t="s">
        <v>8</v>
      </c>
    </row>
    <row r="10" spans="1:6">
      <c r="A10" s="1" t="s">
        <v>52</v>
      </c>
      <c r="B10" s="1">
        <v>3</v>
      </c>
      <c r="C10" s="1">
        <v>1</v>
      </c>
      <c r="D10" s="1">
        <v>43</v>
      </c>
      <c r="E10" s="1">
        <v>12</v>
      </c>
      <c r="F10" s="1" t="s">
        <v>8</v>
      </c>
    </row>
    <row r="11" spans="1:6">
      <c r="A11" s="1" t="s">
        <v>60</v>
      </c>
      <c r="B11" s="1">
        <v>0</v>
      </c>
      <c r="C11" s="1">
        <v>0.1</v>
      </c>
      <c r="D11" s="1">
        <v>60</v>
      </c>
      <c r="E11" s="1">
        <v>11</v>
      </c>
      <c r="F11" s="1" t="s">
        <v>8</v>
      </c>
    </row>
    <row r="12" spans="1:6">
      <c r="A12" s="2" t="s">
        <v>18</v>
      </c>
      <c r="B12" s="2">
        <v>0</v>
      </c>
      <c r="C12" s="2">
        <v>35</v>
      </c>
      <c r="D12" s="2">
        <v>75</v>
      </c>
      <c r="E12" s="2">
        <v>7</v>
      </c>
      <c r="F12" s="2" t="s">
        <v>9</v>
      </c>
    </row>
    <row r="13" spans="1:6">
      <c r="A13" s="2" t="s">
        <v>22</v>
      </c>
      <c r="B13" s="2">
        <v>5</v>
      </c>
      <c r="C13" s="2">
        <v>32</v>
      </c>
      <c r="D13" s="2">
        <v>82</v>
      </c>
      <c r="E13" s="2">
        <v>17</v>
      </c>
      <c r="F13" s="2" t="s">
        <v>9</v>
      </c>
    </row>
    <row r="14" spans="1:6">
      <c r="A14" s="2" t="s">
        <v>23</v>
      </c>
      <c r="B14" s="2">
        <v>0</v>
      </c>
      <c r="C14" s="2">
        <v>54</v>
      </c>
      <c r="D14" s="2">
        <v>47</v>
      </c>
      <c r="E14" s="2">
        <v>12</v>
      </c>
      <c r="F14" s="2" t="s">
        <v>9</v>
      </c>
    </row>
    <row r="15" spans="1:6">
      <c r="A15" s="2" t="s">
        <v>27</v>
      </c>
      <c r="B15" s="2">
        <v>3</v>
      </c>
      <c r="C15" s="2">
        <v>80</v>
      </c>
      <c r="D15" s="2">
        <v>56</v>
      </c>
      <c r="E15" s="2">
        <v>16</v>
      </c>
      <c r="F15" s="2" t="s">
        <v>9</v>
      </c>
    </row>
    <row r="16" spans="1:6">
      <c r="A16" s="2" t="s">
        <v>28</v>
      </c>
      <c r="B16" s="2">
        <v>7</v>
      </c>
      <c r="C16" s="2">
        <v>70</v>
      </c>
      <c r="D16" s="2">
        <v>43</v>
      </c>
      <c r="E16" s="2">
        <v>15</v>
      </c>
      <c r="F16" s="2" t="s">
        <v>9</v>
      </c>
    </row>
    <row r="17" spans="1:6">
      <c r="A17" s="2" t="s">
        <v>36</v>
      </c>
      <c r="B17" s="2">
        <v>8</v>
      </c>
      <c r="C17" s="2">
        <v>80</v>
      </c>
      <c r="D17" s="2">
        <v>61</v>
      </c>
      <c r="E17" s="2">
        <v>28</v>
      </c>
      <c r="F17" s="2" t="s">
        <v>9</v>
      </c>
    </row>
    <row r="18" spans="1:6">
      <c r="A18" s="2" t="s">
        <v>49</v>
      </c>
      <c r="B18" s="2">
        <v>4</v>
      </c>
      <c r="C18" s="2">
        <v>57</v>
      </c>
      <c r="D18" s="2">
        <v>67</v>
      </c>
      <c r="E18" s="2">
        <v>13</v>
      </c>
      <c r="F18" s="2" t="s">
        <v>9</v>
      </c>
    </row>
    <row r="19" spans="1:6">
      <c r="A19" s="2" t="s">
        <v>55</v>
      </c>
      <c r="B19" s="2">
        <v>0</v>
      </c>
      <c r="C19" s="2">
        <v>49</v>
      </c>
      <c r="D19" s="2">
        <v>74</v>
      </c>
      <c r="E19" s="2">
        <v>21</v>
      </c>
      <c r="F19" s="2" t="s">
        <v>9</v>
      </c>
    </row>
    <row r="20" spans="1:6">
      <c r="A20" s="2" t="s">
        <v>56</v>
      </c>
      <c r="B20" s="2">
        <v>0.1</v>
      </c>
      <c r="C20" s="2">
        <v>44</v>
      </c>
      <c r="D20" s="2">
        <v>24</v>
      </c>
      <c r="E20" s="2">
        <v>8</v>
      </c>
      <c r="F20" s="2" t="s">
        <v>9</v>
      </c>
    </row>
    <row r="21" spans="1:6">
      <c r="A21" s="2" t="s">
        <v>58</v>
      </c>
      <c r="B21" s="2">
        <v>1</v>
      </c>
      <c r="C21" s="2">
        <v>62</v>
      </c>
      <c r="D21" s="2">
        <v>73</v>
      </c>
      <c r="E21" s="2">
        <v>24</v>
      </c>
      <c r="F21" s="2" t="s">
        <v>9</v>
      </c>
    </row>
    <row r="22" spans="1:6">
      <c r="A22" s="2" t="s">
        <v>59</v>
      </c>
      <c r="B22" s="2">
        <v>5</v>
      </c>
      <c r="C22" s="2">
        <v>65</v>
      </c>
      <c r="D22" s="2">
        <v>34</v>
      </c>
      <c r="E22" s="2">
        <v>9</v>
      </c>
      <c r="F22" s="2" t="s">
        <v>9</v>
      </c>
    </row>
    <row r="23" spans="1:6">
      <c r="A23" s="3" t="s">
        <v>15</v>
      </c>
      <c r="B23" s="3">
        <v>8</v>
      </c>
      <c r="C23" s="3">
        <v>177</v>
      </c>
      <c r="D23" s="3">
        <v>50</v>
      </c>
      <c r="E23" s="3">
        <v>17</v>
      </c>
      <c r="F23" s="3" t="s">
        <v>10</v>
      </c>
    </row>
    <row r="24" spans="1:6">
      <c r="A24" s="3" t="s">
        <v>17</v>
      </c>
      <c r="B24" s="3">
        <v>5</v>
      </c>
      <c r="C24" s="3">
        <v>170</v>
      </c>
      <c r="D24" s="3">
        <v>78</v>
      </c>
      <c r="E24" s="3">
        <v>37</v>
      </c>
      <c r="F24" s="3" t="s">
        <v>10</v>
      </c>
    </row>
    <row r="25" spans="1:6">
      <c r="A25" s="3" t="s">
        <v>21</v>
      </c>
      <c r="B25" s="3">
        <v>15</v>
      </c>
      <c r="C25" s="3">
        <v>136</v>
      </c>
      <c r="D25" s="3">
        <v>52</v>
      </c>
      <c r="E25" s="3">
        <v>24</v>
      </c>
      <c r="F25" s="3" t="s">
        <v>10</v>
      </c>
    </row>
    <row r="26" spans="1:6">
      <c r="A26" s="3" t="s">
        <v>29</v>
      </c>
      <c r="B26" s="3">
        <v>15</v>
      </c>
      <c r="C26" s="3">
        <v>159</v>
      </c>
      <c r="D26" s="3">
        <v>61</v>
      </c>
      <c r="E26" s="3">
        <v>19</v>
      </c>
      <c r="F26" s="3" t="s">
        <v>10</v>
      </c>
    </row>
    <row r="27" spans="1:6">
      <c r="A27" s="3" t="s">
        <v>32</v>
      </c>
      <c r="B27" s="3">
        <v>2</v>
      </c>
      <c r="C27" s="3">
        <v>138</v>
      </c>
      <c r="D27" s="3">
        <v>82</v>
      </c>
      <c r="E27" s="3">
        <v>13</v>
      </c>
      <c r="F27" s="3" t="s">
        <v>10</v>
      </c>
    </row>
    <row r="28" spans="1:6">
      <c r="A28" s="3" t="s">
        <v>41</v>
      </c>
      <c r="B28" s="3">
        <v>5</v>
      </c>
      <c r="C28" s="3">
        <v>155</v>
      </c>
      <c r="D28" s="3">
        <v>87</v>
      </c>
      <c r="E28" s="3">
        <v>19</v>
      </c>
      <c r="F28" s="3" t="s">
        <v>10</v>
      </c>
    </row>
    <row r="29" spans="1:6">
      <c r="A29" s="3" t="s">
        <v>43</v>
      </c>
      <c r="B29" s="3">
        <v>9</v>
      </c>
      <c r="C29" s="3">
        <v>161</v>
      </c>
      <c r="D29" s="3">
        <v>85</v>
      </c>
      <c r="E29" s="3">
        <v>23</v>
      </c>
      <c r="F29" s="3" t="s">
        <v>10</v>
      </c>
    </row>
    <row r="30" spans="1:6">
      <c r="A30" s="3" t="s">
        <v>46</v>
      </c>
      <c r="B30" s="3">
        <v>8</v>
      </c>
      <c r="C30" s="3">
        <v>119</v>
      </c>
      <c r="D30" s="3">
        <v>73</v>
      </c>
      <c r="E30" s="3">
        <v>18</v>
      </c>
      <c r="F30" s="3" t="s">
        <v>10</v>
      </c>
    </row>
    <row r="31" spans="1:6">
      <c r="A31" s="3" t="s">
        <v>47</v>
      </c>
      <c r="B31" s="3">
        <v>4</v>
      </c>
      <c r="C31" s="3">
        <v>116</v>
      </c>
      <c r="D31" s="3">
        <v>59</v>
      </c>
      <c r="E31" s="3">
        <v>20</v>
      </c>
      <c r="F31" s="3" t="s">
        <v>10</v>
      </c>
    </row>
    <row r="32" spans="1:6">
      <c r="A32" s="3" t="s">
        <v>48</v>
      </c>
      <c r="B32" s="3">
        <v>4</v>
      </c>
      <c r="C32" s="3">
        <v>103</v>
      </c>
      <c r="D32" s="3">
        <v>58</v>
      </c>
      <c r="E32" s="3">
        <v>29</v>
      </c>
      <c r="F32" s="3" t="s">
        <v>10</v>
      </c>
    </row>
    <row r="33" spans="1:6">
      <c r="A33" s="3" t="s">
        <v>50</v>
      </c>
      <c r="B33" s="3">
        <v>2</v>
      </c>
      <c r="C33" s="3">
        <v>97</v>
      </c>
      <c r="D33" s="3">
        <v>83</v>
      </c>
      <c r="E33" s="3">
        <v>5</v>
      </c>
      <c r="F33" s="3" t="s">
        <v>10</v>
      </c>
    </row>
    <row r="34" spans="1:6">
      <c r="A34" s="3" t="s">
        <v>53</v>
      </c>
      <c r="B34" s="3">
        <v>14</v>
      </c>
      <c r="C34" s="3">
        <v>96</v>
      </c>
      <c r="D34" s="3">
        <v>58</v>
      </c>
      <c r="E34" s="3">
        <v>27</v>
      </c>
      <c r="F34" s="3" t="s">
        <v>10</v>
      </c>
    </row>
    <row r="35" spans="1:6">
      <c r="A35" s="3" t="s">
        <v>54</v>
      </c>
      <c r="B35" s="3">
        <v>13</v>
      </c>
      <c r="C35" s="3">
        <v>137</v>
      </c>
      <c r="D35" s="3">
        <v>79</v>
      </c>
      <c r="E35" s="3">
        <v>25</v>
      </c>
      <c r="F35" s="3" t="s">
        <v>10</v>
      </c>
    </row>
    <row r="36" spans="1:6">
      <c r="A36" s="3" t="s">
        <v>57</v>
      </c>
      <c r="B36" s="3">
        <v>7</v>
      </c>
      <c r="C36" s="3">
        <v>100</v>
      </c>
      <c r="D36" s="3">
        <v>58</v>
      </c>
      <c r="E36" s="3">
        <v>16</v>
      </c>
      <c r="F36" s="3" t="s">
        <v>10</v>
      </c>
    </row>
    <row r="37" spans="1:6">
      <c r="A37" s="3" t="s">
        <v>61</v>
      </c>
      <c r="B37" s="3">
        <v>6</v>
      </c>
      <c r="C37" s="3">
        <v>143</v>
      </c>
      <c r="D37" s="3">
        <v>51</v>
      </c>
      <c r="E37" s="3">
        <v>11</v>
      </c>
      <c r="F37" s="3" t="s">
        <v>10</v>
      </c>
    </row>
    <row r="38" spans="1:6">
      <c r="A38" t="s">
        <v>12</v>
      </c>
      <c r="B38">
        <v>12</v>
      </c>
      <c r="C38">
        <v>193</v>
      </c>
      <c r="D38">
        <v>51</v>
      </c>
      <c r="E38">
        <v>21</v>
      </c>
      <c r="F38" t="s">
        <v>11</v>
      </c>
    </row>
    <row r="39" spans="1:6">
      <c r="A39" t="s">
        <v>13</v>
      </c>
      <c r="B39">
        <v>9</v>
      </c>
      <c r="C39">
        <v>222</v>
      </c>
      <c r="D39">
        <v>39</v>
      </c>
      <c r="E39">
        <v>42</v>
      </c>
      <c r="F39" t="s">
        <v>11</v>
      </c>
    </row>
    <row r="40" spans="1:6">
      <c r="A40" t="s">
        <v>14</v>
      </c>
      <c r="B40">
        <v>6</v>
      </c>
      <c r="C40">
        <v>226</v>
      </c>
      <c r="D40">
        <v>72</v>
      </c>
      <c r="E40">
        <v>30</v>
      </c>
      <c r="F40" t="s">
        <v>11</v>
      </c>
    </row>
    <row r="41" spans="1:6">
      <c r="A41" t="s">
        <v>16</v>
      </c>
      <c r="B41">
        <v>7</v>
      </c>
      <c r="C41">
        <v>235</v>
      </c>
      <c r="D41">
        <v>86</v>
      </c>
      <c r="E41">
        <v>39</v>
      </c>
      <c r="F41" t="s">
        <v>11</v>
      </c>
    </row>
    <row r="42" spans="1:6">
      <c r="A42" t="s">
        <v>19</v>
      </c>
      <c r="B42">
        <v>4</v>
      </c>
      <c r="C42">
        <v>198</v>
      </c>
      <c r="D42">
        <v>70</v>
      </c>
      <c r="E42">
        <v>15</v>
      </c>
      <c r="F42" t="s">
        <v>11</v>
      </c>
    </row>
    <row r="43" spans="1:6">
      <c r="A43" t="s">
        <v>20</v>
      </c>
      <c r="B43">
        <v>13</v>
      </c>
      <c r="C43">
        <v>259</v>
      </c>
      <c r="D43">
        <v>74</v>
      </c>
      <c r="E43">
        <v>30</v>
      </c>
      <c r="F43" t="s">
        <v>11</v>
      </c>
    </row>
    <row r="44" spans="1:6">
      <c r="A44" t="s">
        <v>24</v>
      </c>
      <c r="B44">
        <v>10</v>
      </c>
      <c r="C44">
        <v>218</v>
      </c>
      <c r="D44">
        <v>79</v>
      </c>
      <c r="E44">
        <v>20</v>
      </c>
      <c r="F44" t="s">
        <v>11</v>
      </c>
    </row>
    <row r="45" spans="1:6">
      <c r="A45" t="s">
        <v>31</v>
      </c>
      <c r="B45">
        <v>10</v>
      </c>
      <c r="C45">
        <v>260</v>
      </c>
      <c r="D45">
        <v>63</v>
      </c>
      <c r="E45">
        <v>28</v>
      </c>
      <c r="F45" t="s">
        <v>11</v>
      </c>
    </row>
    <row r="46" spans="1:6">
      <c r="A46" t="s">
        <v>33</v>
      </c>
      <c r="B46">
        <v>11</v>
      </c>
      <c r="C46">
        <v>251</v>
      </c>
      <c r="D46">
        <v>68</v>
      </c>
      <c r="E46">
        <v>35</v>
      </c>
      <c r="F46" t="s">
        <v>11</v>
      </c>
    </row>
    <row r="47" spans="1:6">
      <c r="A47" t="s">
        <v>35</v>
      </c>
      <c r="B47">
        <v>13</v>
      </c>
      <c r="C47">
        <v>209</v>
      </c>
      <c r="D47">
        <v>44</v>
      </c>
      <c r="E47">
        <v>13</v>
      </c>
      <c r="F47" t="s">
        <v>11</v>
      </c>
    </row>
    <row r="48" spans="1:6">
      <c r="A48" t="s">
        <v>39</v>
      </c>
      <c r="B48">
        <v>11</v>
      </c>
      <c r="C48">
        <v>239</v>
      </c>
      <c r="D48">
        <v>75</v>
      </c>
      <c r="E48">
        <v>43</v>
      </c>
      <c r="F48" t="s">
        <v>11</v>
      </c>
    </row>
    <row r="49" spans="1:6">
      <c r="A49" t="s">
        <v>42</v>
      </c>
      <c r="B49">
        <v>12</v>
      </c>
      <c r="C49">
        <v>229</v>
      </c>
      <c r="D49">
        <v>64</v>
      </c>
      <c r="E49">
        <v>32</v>
      </c>
      <c r="F49" t="s">
        <v>11</v>
      </c>
    </row>
    <row r="50" spans="1:6">
      <c r="A50" t="s">
        <v>44</v>
      </c>
      <c r="B50">
        <v>13</v>
      </c>
      <c r="C50">
        <v>321</v>
      </c>
      <c r="D50">
        <v>45</v>
      </c>
      <c r="E50">
        <v>13</v>
      </c>
      <c r="F50" t="s">
        <v>11</v>
      </c>
    </row>
    <row r="51" spans="1:6">
      <c r="A51" t="s">
        <v>51</v>
      </c>
      <c r="B51">
        <v>13</v>
      </c>
      <c r="C51">
        <v>210</v>
      </c>
      <c r="D51">
        <v>46</v>
      </c>
      <c r="E51">
        <v>21</v>
      </c>
      <c r="F51" t="s">
        <v>11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Pattern Observation (Tham khảo)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Sói</cp:lastModifiedBy>
  <dcterms:created xsi:type="dcterms:W3CDTF">2019-10-16T22:27:00Z</dcterms:created>
  <dcterms:modified xsi:type="dcterms:W3CDTF">2025-12-08T07:23:49Z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0F2D06897E964BFD9A167C8E65A00648_12</vt:lpwstr>
  </property>
  <property fmtid="{D5CDD505-2E9C-101B-9397-08002B2CF9AE}" pid="3" name="KSOProductBuildVer">
    <vt:lpwstr>1033-12.2.0.23155</vt:lpwstr>
  </property>
</Properties>
</file>