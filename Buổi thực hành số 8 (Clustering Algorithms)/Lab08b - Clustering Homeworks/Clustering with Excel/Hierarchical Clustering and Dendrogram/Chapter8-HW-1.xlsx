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olors1.xml" ContentType="application/vnd.ms-office.chartcolorstyle+xml"/>
  <Override PartName="/xl/charts/style1.xml" ContentType="application/vnd.ms-office.chartstyle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300"/>
  </bookViews>
  <sheets>
    <sheet name="Hierarchical Clustering" sheetId="5" r:id="rId1"/>
    <sheet name="Dendrogram" sheetId="7" r:id="rId2"/>
  </sheets>
  <definedNames>
    <definedName name="Fe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<sst xmlns="http://schemas.openxmlformats.org/spreadsheetml/2006/main" count="44" uniqueCount="23">
  <si>
    <t>Patients-GeneSymbol</t>
  </si>
  <si>
    <t>CREB3L1</t>
  </si>
  <si>
    <t>RPS11</t>
  </si>
  <si>
    <t>PNMA1</t>
  </si>
  <si>
    <t>MMP2</t>
  </si>
  <si>
    <t>C10orf90</t>
  </si>
  <si>
    <t>ZHX3</t>
  </si>
  <si>
    <t>Step-1</t>
  </si>
  <si>
    <t>Step-2</t>
  </si>
  <si>
    <t>Step-3</t>
  </si>
  <si>
    <t>Step-4</t>
  </si>
  <si>
    <t>Step-5</t>
  </si>
  <si>
    <t>Step-6</t>
  </si>
  <si>
    <t>Step-7</t>
  </si>
  <si>
    <t>P2</t>
  </si>
  <si>
    <t>P3</t>
  </si>
  <si>
    <t>P1</t>
  </si>
  <si>
    <t>P5</t>
  </si>
  <si>
    <t>P6</t>
  </si>
  <si>
    <t>P4</t>
  </si>
  <si>
    <t>P7</t>
  </si>
  <si>
    <t>X</t>
  </si>
  <si>
    <t>Y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</si>
</sst>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-* #,##0.00\ &quot;₫&quot;_-;\-* #,##0.00\ &quot;₫&quot;_-;_-* &quot;-&quot;??\ &quot;₫&quot;_-;_-@_-"/>
    <numFmt numFmtId="178" formatCode="_ * #,##0_ ;_ * \-#,##0_ ;_ * &quot;-&quot;_ ;_ @_ "/>
    <numFmt numFmtId="179" formatCode="_-* #,##0\ &quot;₫&quot;_-;\-* #,##0\ &quot;₫&quot;_-;_-* &quot;-&quot;\ &quot;₫&quot;_-;_-@_-"/>
  </numFmts>
  <fonts count="20">
    <font>
      <sz val="11"/>
      <color theme="1"/>
      <name val="Calibri"/>
      <charset val="134"/>
      <scheme val="minor"/>
    </font>
    <font>
      <b/>
      <sz val="11"/>
      <color rgb="FFFF0000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134"/>
      <scheme val="minor"/>
    </font>
    <font>
      <sz val="18"/>
      <color theme="3"/>
      <name val="Calibri Light"/>
      <charset val="134"/>
      <scheme val="major"/>
    </font>
    <font>
      <i/>
      <sz val="11"/>
      <color rgb="FF7F7F7F"/>
      <name val="Calibri"/>
      <charset val="134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134"/>
      <scheme val="minor"/>
    </font>
    <font>
      <b/>
      <sz val="11"/>
      <color rgb="FF3F3F3F"/>
      <name val="Calibri"/>
      <charset val="134"/>
      <scheme val="minor"/>
    </font>
    <font>
      <b/>
      <sz val="11"/>
      <color rgb="FFFA7D00"/>
      <name val="Calibri"/>
      <charset val="134"/>
      <scheme val="minor"/>
    </font>
    <font>
      <b/>
      <sz val="11"/>
      <color theme="0"/>
      <name val="Calibri"/>
      <charset val="134"/>
      <scheme val="minor"/>
    </font>
    <font>
      <sz val="11"/>
      <color rgb="FFFA7D00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1"/>
      <color rgb="FF006100"/>
      <name val="Calibri"/>
      <charset val="134"/>
      <scheme val="minor"/>
    </font>
    <font>
      <sz val="11"/>
      <color rgb="FF9C0006"/>
      <name val="Calibri"/>
      <charset val="134"/>
      <scheme val="minor"/>
    </font>
    <font>
      <sz val="11"/>
      <color rgb="FF9C5700"/>
      <name val="Calibri"/>
      <charset val="134"/>
      <scheme val="minor"/>
    </font>
    <font>
      <sz val="11"/>
      <color theme="0"/>
      <name val="Calibri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2" applyNumberFormat="0" applyFill="0" applyAlignment="0" applyProtection="0"/>
    <xf numFmtId="0" fontId="8" fillId="0" borderId="3" applyNumberFormat="0" applyFill="0" applyAlignment="0" applyProtection="0"/>
    <xf numFmtId="0" fontId="9" fillId="0" borderId="4" applyNumberFormat="0" applyFill="0" applyAlignment="0" applyProtection="0"/>
    <xf numFmtId="0" fontId="9" fillId="0" borderId="0" applyNumberFormat="0" applyFill="0" applyBorder="0" applyAlignment="0" applyProtection="0"/>
    <xf numFmtId="0" fontId="10" fillId="3" borderId="5" applyNumberFormat="0" applyAlignment="0" applyProtection="0"/>
    <xf numFmtId="0" fontId="11" fillId="4" borderId="6" applyNumberFormat="0" applyAlignment="0" applyProtection="0"/>
    <xf numFmtId="0" fontId="12" fillId="4" borderId="5" applyNumberFormat="0" applyAlignment="0" applyProtection="0"/>
    <xf numFmtId="0" fontId="13" fillId="5" borderId="7" applyNumberFormat="0" applyAlignment="0" applyProtection="0"/>
    <xf numFmtId="0" fontId="14" fillId="0" borderId="8" applyNumberFormat="0" applyFill="0" applyAlignment="0" applyProtection="0"/>
    <xf numFmtId="0" fontId="15" fillId="0" borderId="9" applyNumberFormat="0" applyFill="0" applyAlignment="0" applyProtection="0"/>
    <xf numFmtId="0" fontId="16" fillId="6" borderId="0" applyNumberFormat="0" applyBorder="0" applyAlignment="0" applyProtection="0"/>
    <xf numFmtId="0" fontId="17" fillId="7" borderId="0" applyNumberFormat="0" applyBorder="0" applyAlignment="0" applyProtection="0"/>
    <xf numFmtId="0" fontId="18" fillId="8" borderId="0" applyNumberFormat="0" applyBorder="0" applyAlignment="0" applyProtection="0"/>
    <xf numFmtId="0" fontId="19" fillId="9" borderId="0" applyNumberFormat="0" applyBorder="0" applyAlignment="0" applyProtection="0"/>
    <xf numFmtId="0" fontId="0" fillId="10" borderId="0" applyNumberFormat="0" applyBorder="0" applyAlignment="0" applyProtection="0"/>
    <xf numFmtId="0" fontId="0" fillId="11" borderId="0" applyNumberFormat="0" applyBorder="0" applyAlignment="0" applyProtection="0"/>
    <xf numFmtId="0" fontId="0" fillId="12" borderId="0" applyNumberFormat="0" applyBorder="0" applyAlignment="0" applyProtection="0"/>
    <xf numFmtId="0" fontId="19" fillId="13" borderId="0" applyNumberFormat="0" applyBorder="0" applyAlignment="0" applyProtection="0"/>
    <xf numFmtId="0" fontId="0" fillId="14" borderId="0" applyNumberFormat="0" applyBorder="0" applyAlignment="0" applyProtection="0"/>
    <xf numFmtId="0" fontId="0" fillId="15" borderId="0" applyNumberFormat="0" applyBorder="0" applyAlignment="0" applyProtection="0"/>
    <xf numFmtId="0" fontId="0" fillId="16" borderId="0" applyNumberFormat="0" applyBorder="0" applyAlignment="0" applyProtection="0"/>
    <xf numFmtId="0" fontId="19" fillId="17" borderId="0" applyNumberFormat="0" applyBorder="0" applyAlignment="0" applyProtection="0"/>
    <xf numFmtId="0" fontId="0" fillId="18" borderId="0" applyNumberFormat="0" applyBorder="0" applyAlignment="0" applyProtection="0"/>
    <xf numFmtId="0" fontId="0" fillId="19" borderId="0" applyNumberFormat="0" applyBorder="0" applyAlignment="0" applyProtection="0"/>
    <xf numFmtId="0" fontId="0" fillId="20" borderId="0" applyNumberFormat="0" applyBorder="0" applyAlignment="0" applyProtection="0"/>
    <xf numFmtId="0" fontId="19" fillId="21" borderId="0" applyNumberFormat="0" applyBorder="0" applyAlignment="0" applyProtection="0"/>
    <xf numFmtId="0" fontId="0" fillId="22" borderId="0" applyNumberFormat="0" applyBorder="0" applyAlignment="0" applyProtection="0"/>
    <xf numFmtId="0" fontId="0" fillId="23" borderId="0" applyNumberFormat="0" applyBorder="0" applyAlignment="0" applyProtection="0"/>
    <xf numFmtId="0" fontId="0" fillId="24" borderId="0" applyNumberFormat="0" applyBorder="0" applyAlignment="0" applyProtection="0"/>
    <xf numFmtId="0" fontId="19" fillId="25" borderId="0" applyNumberFormat="0" applyBorder="0" applyAlignment="0" applyProtection="0"/>
    <xf numFmtId="0" fontId="0" fillId="26" borderId="0" applyNumberFormat="0" applyBorder="0" applyAlignment="0" applyProtection="0"/>
    <xf numFmtId="0" fontId="0" fillId="27" borderId="0" applyNumberFormat="0" applyBorder="0" applyAlignment="0" applyProtection="0"/>
    <xf numFmtId="0" fontId="0" fillId="28" borderId="0" applyNumberFormat="0" applyBorder="0" applyAlignment="0" applyProtection="0"/>
    <xf numFmtId="0" fontId="19" fillId="29" borderId="0" applyNumberFormat="0" applyBorder="0" applyAlignment="0" applyProtection="0"/>
    <xf numFmtId="0" fontId="0" fillId="30" borderId="0" applyNumberFormat="0" applyBorder="0" applyAlignment="0" applyProtection="0"/>
    <xf numFmtId="0" fontId="0" fillId="31" borderId="0" applyNumberFormat="0" applyBorder="0" applyAlignment="0" applyProtection="0"/>
    <xf numFmtId="0" fontId="0" fillId="32" borderId="0" applyNumberFormat="0" applyBorder="0" applyAlignment="0" applyProtection="0"/>
  </cellStyleXfs>
  <cellXfs count="4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0" fillId="0" borderId="0" xfId="0" applyFo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Dendrogram</a:t>
            </a:r>
            <a:endParaRPr lang="en-US"/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scatterChart>
        <c:scatterStyle val="line"/>
        <c:varyColors val="0"/>
        <c:ser>
          <c:idx val="0"/>
          <c:order val="0"/>
          <c:tx>
            <c:strRef>
              <c:f>Dendrogram!$S$1</c:f>
              <c:strCache>
                <c:ptCount val="1"/>
                <c:pt idx="0">
                  <c:v>Y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dLbl>
              <c:idx val="0"/>
              <c:layout/>
              <c:tx>
                <c:rich>
                  <a:bodyPr rot="0" spcFirstLastPara="1" vertOverflow="ellipsis" vert="horz" wrap="square" lIns="38100" tIns="19050" rIns="38100" bIns="19050" anchor="ctr" anchorCtr="1"/>
                  <a:lstStyle/>
                  <a:p>
                    <a:pPr>
                      <a:defRPr lang="en-US" sz="900" b="0" i="0" u="none" strike="noStrike" kern="1200" baseline="0">
                        <a:solidFill>
                          <a:schemeClr val="tx1">
                            <a:lumMod val="75000"/>
                            <a:lumOff val="25000"/>
                          </a:schemeClr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r>
                      <a:rPr lang="en-US"/>
                      <a:t>P2</a:t>
                    </a:r>
                    <a:endParaRPr lang="en-US"/>
                  </a:p>
                </c:rich>
              </c:tx>
              <c:dLblPos val="b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</c:extLst>
            </c:dLbl>
            <c:dLbl>
              <c:idx val="1"/>
              <c:delete val="1"/>
            </c:dLbl>
            <c:dLbl>
              <c:idx val="2"/>
              <c:delete val="1"/>
            </c:dLbl>
            <c:dLbl>
              <c:idx val="3"/>
              <c:layout/>
              <c:tx>
                <c:rich>
                  <a:bodyPr rot="0" spcFirstLastPara="1" vertOverflow="ellipsis" vert="horz" wrap="square" lIns="38100" tIns="19050" rIns="38100" bIns="19050" anchor="ctr" anchorCtr="1"/>
                  <a:lstStyle/>
                  <a:p>
                    <a:pPr>
                      <a:defRPr lang="en-US" sz="900" b="0" i="0" u="none" strike="noStrike" kern="1200" baseline="0">
                        <a:solidFill>
                          <a:schemeClr val="tx1">
                            <a:lumMod val="75000"/>
                            <a:lumOff val="25000"/>
                          </a:schemeClr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r>
                      <a:rPr lang="en-US"/>
                      <a:t>P3</a:t>
                    </a:r>
                    <a:endParaRPr lang="en-US"/>
                  </a:p>
                </c:rich>
              </c:tx>
              <c:dLblPos val="b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</c:extLst>
            </c:dLbl>
            <c:dLbl>
              <c:idx val="4"/>
              <c:delete val="1"/>
            </c:dLbl>
            <c:dLbl>
              <c:idx val="5"/>
              <c:delete val="1"/>
            </c:dLbl>
            <c:dLbl>
              <c:idx val="6"/>
              <c:delete val="1"/>
            </c:dLbl>
            <c:dLbl>
              <c:idx val="7"/>
              <c:delete val="1"/>
            </c:dLbl>
            <c:dLbl>
              <c:idx val="8"/>
              <c:delete val="1"/>
            </c:dLbl>
            <c:dLbl>
              <c:idx val="9"/>
              <c:delete val="1"/>
            </c:dLbl>
            <c:dLbl>
              <c:idx val="10"/>
              <c:layout/>
              <c:tx>
                <c:rich>
                  <a:bodyPr rot="0" spcFirstLastPara="1" vertOverflow="ellipsis" vert="horz" wrap="square" lIns="38100" tIns="19050" rIns="38100" bIns="19050" anchor="ctr" anchorCtr="1"/>
                  <a:lstStyle/>
                  <a:p>
                    <a:pPr>
                      <a:defRPr lang="en-US" sz="900" b="0" i="0" u="none" strike="noStrike" kern="1200" baseline="0">
                        <a:solidFill>
                          <a:schemeClr val="tx1">
                            <a:lumMod val="75000"/>
                            <a:lumOff val="25000"/>
                          </a:schemeClr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r>
                      <a:rPr lang="en-US"/>
                      <a:t>P1</a:t>
                    </a:r>
                    <a:endParaRPr lang="en-US"/>
                  </a:p>
                </c:rich>
              </c:tx>
              <c:dLblPos val="b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</c:extLst>
            </c:dLbl>
            <c:dLbl>
              <c:idx val="11"/>
              <c:delete val="1"/>
            </c:dLbl>
            <c:dLbl>
              <c:idx val="12"/>
              <c:delete val="1"/>
            </c:dLbl>
            <c:dLbl>
              <c:idx val="13"/>
              <c:layout/>
              <c:tx>
                <c:rich>
                  <a:bodyPr rot="0" spcFirstLastPara="1" vertOverflow="ellipsis" vert="horz" wrap="square" lIns="38100" tIns="19050" rIns="38100" bIns="19050" anchor="ctr" anchorCtr="1"/>
                  <a:lstStyle/>
                  <a:p>
                    <a:pPr>
                      <a:defRPr lang="en-US" sz="900" b="0" i="0" u="none" strike="noStrike" kern="1200" baseline="0">
                        <a:solidFill>
                          <a:schemeClr val="tx1">
                            <a:lumMod val="75000"/>
                            <a:lumOff val="25000"/>
                          </a:schemeClr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r>
                      <a:rPr lang="en-US"/>
                      <a:t>P5</a:t>
                    </a:r>
                    <a:endParaRPr lang="en-US"/>
                  </a:p>
                </c:rich>
              </c:tx>
              <c:dLblPos val="b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</c:extLst>
            </c:dLbl>
            <c:dLbl>
              <c:idx val="14"/>
              <c:delete val="1"/>
            </c:dLbl>
            <c:dLbl>
              <c:idx val="15"/>
              <c:delete val="1"/>
            </c:dLbl>
            <c:dLbl>
              <c:idx val="16"/>
              <c:delete val="1"/>
            </c:dLbl>
            <c:dLbl>
              <c:idx val="17"/>
              <c:delete val="1"/>
            </c:dLbl>
            <c:dLbl>
              <c:idx val="18"/>
              <c:delete val="1"/>
            </c:dLbl>
            <c:dLbl>
              <c:idx val="19"/>
              <c:delete val="1"/>
            </c:dLbl>
            <c:dLbl>
              <c:idx val="20"/>
              <c:layout/>
              <c:tx>
                <c:rich>
                  <a:bodyPr rot="0" spcFirstLastPara="1" vertOverflow="ellipsis" vert="horz" wrap="square" lIns="38100" tIns="19050" rIns="38100" bIns="19050" anchor="ctr" anchorCtr="1"/>
                  <a:lstStyle/>
                  <a:p>
                    <a:pPr>
                      <a:defRPr lang="en-US" sz="900" b="0" i="0" u="none" strike="noStrike" kern="1200" baseline="0">
                        <a:solidFill>
                          <a:schemeClr val="tx1">
                            <a:lumMod val="75000"/>
                            <a:lumOff val="25000"/>
                          </a:schemeClr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r>
                      <a:rPr lang="en-US"/>
                      <a:t>P6</a:t>
                    </a:r>
                    <a:endParaRPr lang="en-US"/>
                  </a:p>
                </c:rich>
              </c:tx>
              <c:dLblPos val="b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</c:extLst>
            </c:dLbl>
            <c:dLbl>
              <c:idx val="21"/>
              <c:delete val="1"/>
            </c:dLbl>
            <c:dLbl>
              <c:idx val="22"/>
              <c:delete val="1"/>
            </c:dLbl>
            <c:dLbl>
              <c:idx val="23"/>
              <c:delete val="1"/>
            </c:dLbl>
            <c:dLbl>
              <c:idx val="24"/>
              <c:delete val="1"/>
            </c:dLbl>
            <c:dLbl>
              <c:idx val="25"/>
              <c:delete val="1"/>
            </c:dLbl>
            <c:dLbl>
              <c:idx val="26"/>
              <c:delete val="1"/>
            </c:dLbl>
            <c:dLbl>
              <c:idx val="27"/>
              <c:layout/>
              <c:tx>
                <c:rich>
                  <a:bodyPr rot="0" spcFirstLastPara="1" vertOverflow="ellipsis" vert="horz" wrap="square" lIns="38100" tIns="19050" rIns="38100" bIns="19050" anchor="ctr" anchorCtr="1"/>
                  <a:lstStyle/>
                  <a:p>
                    <a:pPr>
                      <a:defRPr lang="en-US" sz="900" b="0" i="0" u="none" strike="noStrike" kern="1200" baseline="0">
                        <a:solidFill>
                          <a:schemeClr val="tx1">
                            <a:lumMod val="75000"/>
                            <a:lumOff val="25000"/>
                          </a:schemeClr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r>
                      <a:rPr lang="en-US"/>
                      <a:t>P4</a:t>
                    </a:r>
                    <a:endParaRPr lang="en-US"/>
                  </a:p>
                </c:rich>
              </c:tx>
              <c:dLblPos val="b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</c:extLst>
            </c:dLbl>
            <c:dLbl>
              <c:idx val="28"/>
              <c:delete val="1"/>
            </c:dLbl>
            <c:dLbl>
              <c:idx val="29"/>
              <c:delete val="1"/>
            </c:dLbl>
            <c:dLbl>
              <c:idx val="30"/>
              <c:layout/>
              <c:tx>
                <c:rich>
                  <a:bodyPr rot="0" spcFirstLastPara="1" vertOverflow="ellipsis" vert="horz" wrap="square" lIns="38100" tIns="19050" rIns="38100" bIns="19050" anchor="ctr" anchorCtr="1"/>
                  <a:lstStyle/>
                  <a:p>
                    <a:pPr>
                      <a:defRPr lang="en-US" sz="900" b="0" i="0" u="none" strike="noStrike" kern="1200" baseline="0">
                        <a:solidFill>
                          <a:schemeClr val="tx1">
                            <a:lumMod val="75000"/>
                            <a:lumOff val="25000"/>
                          </a:schemeClr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r>
                      <a:rPr lang="en-US"/>
                      <a:t>P7</a:t>
                    </a:r>
                    <a:endParaRPr lang="en-US"/>
                  </a:p>
                </c:rich>
              </c:tx>
              <c:dLblPos val="b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</c:extLst>
            </c:dLbl>
            <c:dLbl>
              <c:idx val="31"/>
              <c:delete val="1"/>
            </c:dLbl>
            <c:dLbl>
              <c:idx val="32"/>
              <c:delete val="1"/>
            </c:dLbl>
            <c:dLbl>
              <c:idx val="33"/>
              <c:delete val="1"/>
            </c:dLbl>
            <c:dLbl>
              <c:idx val="34"/>
              <c:delete val="1"/>
            </c:dLbl>
            <c:dLbl>
              <c:idx val="35"/>
              <c:delete val="1"/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US"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Dendrogram!$R$2:$R$37</c:f>
              <c:numCache>
                <c:formatCode>General</c:formatCode>
                <c:ptCount val="36"/>
                <c:pt idx="0">
                  <c:v>1</c:v>
                </c:pt>
                <c:pt idx="1">
                  <c:v>1</c:v>
                </c:pt>
                <c:pt idx="2">
                  <c:v>3</c:v>
                </c:pt>
                <c:pt idx="3">
                  <c:v>3</c:v>
                </c:pt>
                <c:pt idx="4">
                  <c:v>3</c:v>
                </c:pt>
                <c:pt idx="5">
                  <c:v>2</c:v>
                </c:pt>
                <c:pt idx="6">
                  <c:v>2</c:v>
                </c:pt>
                <c:pt idx="7">
                  <c:v>5</c:v>
                </c:pt>
                <c:pt idx="8">
                  <c:v>5</c:v>
                </c:pt>
                <c:pt idx="9">
                  <c:v>4</c:v>
                </c:pt>
                <c:pt idx="10">
                  <c:v>4</c:v>
                </c:pt>
                <c:pt idx="11">
                  <c:v>4</c:v>
                </c:pt>
                <c:pt idx="12">
                  <c:v>6</c:v>
                </c:pt>
                <c:pt idx="13">
                  <c:v>6</c:v>
                </c:pt>
                <c:pt idx="14">
                  <c:v>6</c:v>
                </c:pt>
                <c:pt idx="15">
                  <c:v>5</c:v>
                </c:pt>
                <c:pt idx="16">
                  <c:v>5</c:v>
                </c:pt>
                <c:pt idx="17">
                  <c:v>3</c:v>
                </c:pt>
                <c:pt idx="18">
                  <c:v>3</c:v>
                </c:pt>
                <c:pt idx="19">
                  <c:v>8</c:v>
                </c:pt>
                <c:pt idx="20">
                  <c:v>8</c:v>
                </c:pt>
                <c:pt idx="21">
                  <c:v>8</c:v>
                </c:pt>
                <c:pt idx="22">
                  <c:v>5</c:v>
                </c:pt>
                <c:pt idx="23">
                  <c:v>5</c:v>
                </c:pt>
                <c:pt idx="24">
                  <c:v>11</c:v>
                </c:pt>
                <c:pt idx="25">
                  <c:v>11</c:v>
                </c:pt>
                <c:pt idx="26">
                  <c:v>10</c:v>
                </c:pt>
                <c:pt idx="27">
                  <c:v>10</c:v>
                </c:pt>
                <c:pt idx="28">
                  <c:v>10</c:v>
                </c:pt>
                <c:pt idx="29">
                  <c:v>12</c:v>
                </c:pt>
                <c:pt idx="30">
                  <c:v>12</c:v>
                </c:pt>
                <c:pt idx="31">
                  <c:v>12</c:v>
                </c:pt>
                <c:pt idx="32">
                  <c:v>11</c:v>
                </c:pt>
                <c:pt idx="33">
                  <c:v>11</c:v>
                </c:pt>
                <c:pt idx="34">
                  <c:v>8</c:v>
                </c:pt>
                <c:pt idx="35">
                  <c:v>8</c:v>
                </c:pt>
              </c:numCache>
            </c:numRef>
          </c:xVal>
          <c:yVal>
            <c:numRef>
              <c:f>Dendrogram!$S$2:$S$37</c:f>
              <c:numCache>
                <c:formatCode>General</c:formatCode>
                <c:ptCount val="36"/>
                <c:pt idx="0">
                  <c:v>0</c:v>
                </c:pt>
                <c:pt idx="1">
                  <c:v>1</c:v>
                </c:pt>
                <c:pt idx="2">
                  <c:v>1</c:v>
                </c:pt>
                <c:pt idx="3">
                  <c:v>0</c:v>
                </c:pt>
                <c:pt idx="4">
                  <c:v>1</c:v>
                </c:pt>
                <c:pt idx="5">
                  <c:v>1</c:v>
                </c:pt>
                <c:pt idx="6">
                  <c:v>3</c:v>
                </c:pt>
                <c:pt idx="7">
                  <c:v>3</c:v>
                </c:pt>
                <c:pt idx="8">
                  <c:v>2</c:v>
                </c:pt>
                <c:pt idx="9">
                  <c:v>2</c:v>
                </c:pt>
                <c:pt idx="10">
                  <c:v>0</c:v>
                </c:pt>
                <c:pt idx="11">
                  <c:v>2</c:v>
                </c:pt>
                <c:pt idx="12">
                  <c:v>2</c:v>
                </c:pt>
                <c:pt idx="13">
                  <c:v>0</c:v>
                </c:pt>
                <c:pt idx="14">
                  <c:v>2</c:v>
                </c:pt>
                <c:pt idx="15">
                  <c:v>2</c:v>
                </c:pt>
                <c:pt idx="16">
                  <c:v>3</c:v>
                </c:pt>
                <c:pt idx="17">
                  <c:v>3</c:v>
                </c:pt>
                <c:pt idx="18">
                  <c:v>4</c:v>
                </c:pt>
                <c:pt idx="19">
                  <c:v>4</c:v>
                </c:pt>
                <c:pt idx="20">
                  <c:v>0</c:v>
                </c:pt>
                <c:pt idx="21">
                  <c:v>4</c:v>
                </c:pt>
                <c:pt idx="22">
                  <c:v>4</c:v>
                </c:pt>
                <c:pt idx="23">
                  <c:v>6</c:v>
                </c:pt>
                <c:pt idx="24">
                  <c:v>6</c:v>
                </c:pt>
                <c:pt idx="25">
                  <c:v>5</c:v>
                </c:pt>
                <c:pt idx="26">
                  <c:v>5</c:v>
                </c:pt>
                <c:pt idx="27">
                  <c:v>0</c:v>
                </c:pt>
                <c:pt idx="28">
                  <c:v>5</c:v>
                </c:pt>
                <c:pt idx="29">
                  <c:v>5</c:v>
                </c:pt>
                <c:pt idx="30">
                  <c:v>0</c:v>
                </c:pt>
                <c:pt idx="31">
                  <c:v>5</c:v>
                </c:pt>
                <c:pt idx="32">
                  <c:v>5</c:v>
                </c:pt>
                <c:pt idx="33">
                  <c:v>6</c:v>
                </c:pt>
                <c:pt idx="34">
                  <c:v>6</c:v>
                </c:pt>
                <c:pt idx="35">
                  <c:v>7</c:v>
                </c:pt>
              </c:numCache>
            </c:numRef>
          </c:yVal>
          <c:smooth val="0"/>
        </c:ser>
        <c:dLbls>
          <c:showLegendKey val="0"/>
          <c:showVal val="1"/>
          <c:showCatName val="0"/>
          <c:showSerName val="0"/>
          <c:showPercent val="0"/>
          <c:showBubbleSize val="0"/>
        </c:dLbls>
        <c:axId val="1037844543"/>
        <c:axId val="1037844959"/>
      </c:scatterChart>
      <c:valAx>
        <c:axId val="1037844543"/>
        <c:scaling>
          <c:orientation val="minMax"/>
        </c:scaling>
        <c:delete val="1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037844959"/>
        <c:crosses val="autoZero"/>
        <c:crossBetween val="midCat"/>
      </c:valAx>
      <c:valAx>
        <c:axId val="10378449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03784454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1bb155cb-8e35-4131-a2f0-db54a05fe9e1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9</xdr:col>
      <xdr:colOff>114935</xdr:colOff>
      <xdr:row>12</xdr:row>
      <xdr:rowOff>85725</xdr:rowOff>
    </xdr:from>
    <xdr:to>
      <xdr:col>16</xdr:col>
      <xdr:colOff>466090</xdr:colOff>
      <xdr:row>27</xdr:row>
      <xdr:rowOff>0</xdr:rowOff>
    </xdr:to>
    <xdr:graphicFrame>
      <xdr:nvGraphicFramePr>
        <xdr:cNvPr id="3" name="Chart 2"/>
        <xdr:cNvGraphicFramePr/>
      </xdr:nvGraphicFramePr>
      <xdr:xfrm>
        <a:off x="6239510" y="2371725"/>
        <a:ext cx="3884930" cy="277177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17"/>
  <sheetViews>
    <sheetView tabSelected="1" workbookViewId="0">
      <selection activeCell="K11" sqref="K11"/>
    </sheetView>
  </sheetViews>
  <sheetFormatPr defaultColWidth="9" defaultRowHeight="15"/>
  <cols>
    <col min="1" max="1" width="20.5714285714286" style="1" customWidth="1"/>
    <col min="4" max="6" width="8.57142857142857" customWidth="1"/>
    <col min="7" max="7" width="12.8571428571429" customWidth="1"/>
    <col min="8" max="8" width="8.57142857142857" customWidth="1"/>
    <col min="9" max="9" width="6.14285714285714" customWidth="1"/>
    <col min="10" max="14" width="7.28571428571429" customWidth="1"/>
    <col min="15" max="16" width="8.28571428571429" customWidth="1"/>
  </cols>
  <sheetData>
    <row r="1" spans="1:14">
      <c r="A1" s="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</row>
    <row r="2" spans="1:14">
      <c r="A2" s="1" t="s">
        <v>14</v>
      </c>
      <c r="B2">
        <v>0.658</v>
      </c>
      <c r="C2">
        <v>0.4225</v>
      </c>
      <c r="D2">
        <v>-0.74125</v>
      </c>
      <c r="E2">
        <v>0.005</v>
      </c>
      <c r="F2">
        <v>-1.27375</v>
      </c>
      <c r="G2">
        <v>-0.27</v>
      </c>
      <c r="H2" s="3">
        <v>11</v>
      </c>
      <c r="I2" s="3">
        <v>1</v>
      </c>
      <c r="J2" s="3">
        <v>1</v>
      </c>
      <c r="K2" s="3">
        <v>1</v>
      </c>
      <c r="L2" s="3">
        <v>1</v>
      </c>
      <c r="M2" s="3">
        <v>1</v>
      </c>
      <c r="N2" s="3">
        <v>1</v>
      </c>
    </row>
    <row r="3" spans="1:14">
      <c r="A3" s="1" t="s">
        <v>15</v>
      </c>
      <c r="B3"/>
      <c r="C3"/>
      <c r="D3"/>
      <c r="E3"/>
      <c r="F3"/>
      <c r="G3"/>
      <c r="H3" s="3">
        <v>12</v>
      </c>
      <c r="I3" s="3">
        <v>1</v>
      </c>
      <c r="J3" s="3">
        <v>1</v>
      </c>
      <c r="K3" s="3">
        <v>1</v>
      </c>
      <c r="L3" s="3">
        <v>1</v>
      </c>
      <c r="M3" s="3">
        <v>1</v>
      </c>
      <c r="N3" s="3">
        <v>1</v>
      </c>
    </row>
    <row r="4" spans="1:14">
      <c r="A4" s="1" t="s">
        <v>16</v>
      </c>
      <c r="B4"/>
      <c r="C4"/>
      <c r="D4"/>
      <c r="E4"/>
      <c r="F4"/>
      <c r="G4"/>
      <c r="H4" s="3">
        <v>10</v>
      </c>
      <c r="I4" s="3">
        <v>10</v>
      </c>
      <c r="J4" s="3">
        <v>2</v>
      </c>
      <c r="K4" s="3">
        <v>1</v>
      </c>
      <c r="L4" s="3">
        <v>1</v>
      </c>
      <c r="M4" s="3">
        <v>1</v>
      </c>
      <c r="N4" s="3">
        <v>1</v>
      </c>
    </row>
    <row r="5" spans="1:14">
      <c r="A5" s="1" t="s">
        <v>17</v>
      </c>
      <c r="B5"/>
      <c r="C5"/>
      <c r="D5"/>
      <c r="E5"/>
      <c r="F5"/>
      <c r="G5"/>
      <c r="H5" s="3">
        <v>14</v>
      </c>
      <c r="I5" s="3">
        <v>14</v>
      </c>
      <c r="J5" s="3">
        <v>2</v>
      </c>
      <c r="K5" s="3">
        <v>1</v>
      </c>
      <c r="L5" s="3">
        <v>1</v>
      </c>
      <c r="M5" s="3">
        <v>1</v>
      </c>
      <c r="N5" s="3">
        <v>1</v>
      </c>
    </row>
    <row r="6" spans="1:14">
      <c r="A6" s="1" t="s">
        <v>18</v>
      </c>
      <c r="B6"/>
      <c r="C6"/>
      <c r="D6"/>
      <c r="E6"/>
      <c r="F6"/>
      <c r="G6"/>
      <c r="H6" s="3">
        <v>15</v>
      </c>
      <c r="I6" s="3">
        <v>15</v>
      </c>
      <c r="J6" s="3">
        <v>15</v>
      </c>
      <c r="K6" s="3">
        <v>15</v>
      </c>
      <c r="L6" s="3">
        <v>1</v>
      </c>
      <c r="M6" s="3">
        <v>1</v>
      </c>
      <c r="N6" s="3">
        <v>1</v>
      </c>
    </row>
    <row r="7" spans="1:14">
      <c r="A7" s="1" t="s">
        <v>19</v>
      </c>
      <c r="B7">
        <v>2.39</v>
      </c>
      <c r="C7">
        <v>0.465</v>
      </c>
      <c r="D7">
        <v>-0.285</v>
      </c>
      <c r="E7">
        <v>1.22</v>
      </c>
      <c r="F7">
        <v>-2.515</v>
      </c>
      <c r="G7">
        <v>-0.56</v>
      </c>
      <c r="H7" s="3">
        <v>13</v>
      </c>
      <c r="I7" s="3">
        <v>13</v>
      </c>
      <c r="J7" s="3">
        <v>13</v>
      </c>
      <c r="K7" s="3">
        <v>13</v>
      </c>
      <c r="L7" s="3">
        <v>13</v>
      </c>
      <c r="M7" s="3">
        <v>3</v>
      </c>
      <c r="N7" s="3">
        <v>1</v>
      </c>
    </row>
    <row r="8" spans="1:14">
      <c r="A8" s="1" t="s">
        <v>20</v>
      </c>
      <c r="B8"/>
      <c r="C8"/>
      <c r="D8"/>
      <c r="E8"/>
      <c r="F8"/>
      <c r="G8"/>
      <c r="H8" s="3">
        <v>16</v>
      </c>
      <c r="I8" s="3">
        <v>16</v>
      </c>
      <c r="J8" s="3">
        <v>16</v>
      </c>
      <c r="K8" s="3">
        <v>16</v>
      </c>
      <c r="L8" s="3">
        <v>16</v>
      </c>
      <c r="M8" s="3">
        <v>3</v>
      </c>
      <c r="N8" s="3">
        <v>1</v>
      </c>
    </row>
    <row r="9" spans="9:9">
      <c r="I9" s="3"/>
    </row>
    <row r="10" spans="2:8">
      <c r="B10">
        <v>1</v>
      </c>
      <c r="C10">
        <v>2</v>
      </c>
      <c r="D10">
        <v>3</v>
      </c>
      <c r="E10">
        <v>4</v>
      </c>
      <c r="F10">
        <v>5</v>
      </c>
      <c r="G10">
        <v>6</v>
      </c>
      <c r="H10" s="3">
        <v>7</v>
      </c>
    </row>
    <row r="11" spans="1:16">
      <c r="A11" s="1">
        <v>1</v>
      </c>
      <c r="B11">
        <f>IFERROR(IF($A11=B$10,1000000,SQRT(SUMXMY2($B2:$G2,INDEX($B$2:$G$8,B$10,0)))),1000000)</f>
        <v>1000000</v>
      </c>
      <c r="C11">
        <f>IFERROR(IF($A11=C$10,1000000,SQRT(SUMXMY2($B2:$G2,INDEX($B$2:$G$8,C$10,0)))),1000000)</f>
        <v>1000000</v>
      </c>
      <c r="D11">
        <f>IFERROR(IF($A11=D$10,1000000,SQRT(SUMXMY2($B2:$G2,INDEX($B$2:$G$8,D$10,0)))),1000000)</f>
        <v>1000000</v>
      </c>
      <c r="E11">
        <f>IFERROR(IF($A11=E$10,1000000,SQRT(SUMXMY2($B2:$G2,INDEX($B$2:$G$8,E$10,0)))),1000000)</f>
        <v>1000000</v>
      </c>
      <c r="F11">
        <f>IFERROR(IF($A11=F$10,1000000,SQRT(SUMXMY2($B2:$G2,INDEX($B$2:$G$8,F$10,0)))),1000000)</f>
        <v>1000000</v>
      </c>
      <c r="G11">
        <f>IFERROR(IF($A11=G$10,1000000,SQRT(SUMXMY2($B2:$G2,INDEX($B$2:$G$8,G$10,0)))),1000000)</f>
        <v>2.51213472469133</v>
      </c>
      <c r="H11">
        <f>IFERROR(IF($A11=H$10,1000000,SQRT(SUMXMY2($B2:$G2,INDEX($B$2:$G$8,H$10,0)))),1000000)</f>
        <v>1000000</v>
      </c>
      <c r="I11">
        <f t="shared" ref="I11:I17" si="0">MATCH(MIN(B$11:H$17),B11:H11,0)</f>
        <v>6</v>
      </c>
      <c r="K11" t="e">
        <f t="shared" ref="K11:P11" si="1">AVERAGE(B5,B8)</f>
        <v>#DIV/0!</v>
      </c>
      <c r="L11" t="e">
        <f t="shared" si="1"/>
        <v>#DIV/0!</v>
      </c>
      <c r="M11" t="e">
        <f t="shared" si="1"/>
        <v>#DIV/0!</v>
      </c>
      <c r="N11" t="e">
        <f t="shared" si="1"/>
        <v>#DIV/0!</v>
      </c>
      <c r="O11" t="e">
        <f t="shared" si="1"/>
        <v>#DIV/0!</v>
      </c>
      <c r="P11" t="e">
        <f t="shared" si="1"/>
        <v>#DIV/0!</v>
      </c>
    </row>
    <row r="12" spans="1:16">
      <c r="A12" s="1">
        <v>2</v>
      </c>
      <c r="B12">
        <f>IFERROR(IF($A12=B$10,1000000,SQRT(SUMXMY2($B3:$G3,INDEX($B$2:$G$8,B$10,0)))),1000000)</f>
        <v>1000000</v>
      </c>
      <c r="C12">
        <f>IFERROR(IF($A12=C$10,1000000,SQRT(SUMXMY2($B3:$G3,INDEX($B$2:$G$8,C$10,0)))),1000000)</f>
        <v>1000000</v>
      </c>
      <c r="D12">
        <f>IFERROR(IF($A12=D$10,1000000,SQRT(SUMXMY2($B3:$G3,INDEX($B$2:$G$8,D$10,0)))),1000000)</f>
        <v>1000000</v>
      </c>
      <c r="E12">
        <f>IFERROR(IF($A12=E$10,1000000,SQRT(SUMXMY2($B3:$G3,INDEX($B$2:$G$8,E$10,0)))),1000000)</f>
        <v>1000000</v>
      </c>
      <c r="F12">
        <f>IFERROR(IF($A12=F$10,1000000,SQRT(SUMXMY2($B3:$G3,INDEX($B$2:$G$8,F$10,0)))),1000000)</f>
        <v>1000000</v>
      </c>
      <c r="G12">
        <f>IFERROR(IF($A12=G$10,1000000,SQRT(SUMXMY2($B3:$G3,INDEX($B$2:$G$8,G$10,0)))),1000000)</f>
        <v>1000000</v>
      </c>
      <c r="H12">
        <f>IFERROR(IF($A12=H$10,1000000,SQRT(SUMXMY2($B3:$G3,INDEX($B$2:$G$8,H$10,0)))),1000000)</f>
        <v>1000000</v>
      </c>
      <c r="I12" t="e">
        <f t="shared" si="0"/>
        <v>#N/A</v>
      </c>
      <c r="K12">
        <v>2.39</v>
      </c>
      <c r="L12">
        <v>0.465</v>
      </c>
      <c r="M12">
        <v>-0.285</v>
      </c>
      <c r="N12">
        <v>1.22</v>
      </c>
      <c r="O12">
        <v>-2.515</v>
      </c>
      <c r="P12">
        <v>-0.56</v>
      </c>
    </row>
    <row r="13" spans="1:9">
      <c r="A13" s="1">
        <v>3</v>
      </c>
      <c r="B13">
        <f>IFERROR(IF($A13=B$10,1000000,SQRT(SUMXMY2($B4:$G4,INDEX($B$2:$G$8,B$10,0)))),1000000)</f>
        <v>1000000</v>
      </c>
      <c r="C13">
        <f>IFERROR(IF($A13=C$10,1000000,SQRT(SUMXMY2($B4:$G4,INDEX($B$2:$G$8,C$10,0)))),1000000)</f>
        <v>1000000</v>
      </c>
      <c r="D13">
        <f>IFERROR(IF($A13=D$10,1000000,SQRT(SUMXMY2($B4:$G4,INDEX($B$2:$G$8,D$10,0)))),1000000)</f>
        <v>1000000</v>
      </c>
      <c r="E13">
        <f>IFERROR(IF($A13=E$10,1000000,SQRT(SUMXMY2($B4:$G4,INDEX($B$2:$G$8,E$10,0)))),1000000)</f>
        <v>1000000</v>
      </c>
      <c r="F13">
        <f>IFERROR(IF($A13=F$10,1000000,SQRT(SUMXMY2($B4:$G4,INDEX($B$2:$G$8,F$10,0)))),1000000)</f>
        <v>1000000</v>
      </c>
      <c r="G13">
        <f>IFERROR(IF($A13=G$10,1000000,SQRT(SUMXMY2($B4:$G4,INDEX($B$2:$G$8,G$10,0)))),1000000)</f>
        <v>1000000</v>
      </c>
      <c r="H13">
        <f>IFERROR(IF($A13=H$10,1000000,SQRT(SUMXMY2($B4:$G4,INDEX($B$2:$G$8,H$10,0)))),1000000)</f>
        <v>1000000</v>
      </c>
      <c r="I13" t="e">
        <f t="shared" si="0"/>
        <v>#N/A</v>
      </c>
    </row>
    <row r="14" spans="1:9">
      <c r="A14" s="1">
        <v>4</v>
      </c>
      <c r="B14">
        <f>IFERROR(IF($A14=B$10,1000000,SQRT(SUMXMY2($B5:$G5,INDEX($B$2:$G$8,B$10,0)))),1000000)</f>
        <v>1000000</v>
      </c>
      <c r="C14">
        <f>IFERROR(IF($A14=C$10,1000000,SQRT(SUMXMY2($B5:$G5,INDEX($B$2:$G$8,C$10,0)))),1000000)</f>
        <v>1000000</v>
      </c>
      <c r="D14">
        <f>IFERROR(IF($A14=D$10,1000000,SQRT(SUMXMY2($B5:$G5,INDEX($B$2:$G$8,D$10,0)))),1000000)</f>
        <v>1000000</v>
      </c>
      <c r="E14">
        <f>IFERROR(IF($A14=E$10,1000000,SQRT(SUMXMY2($B5:$G5,INDEX($B$2:$G$8,E$10,0)))),1000000)</f>
        <v>1000000</v>
      </c>
      <c r="F14">
        <f>IFERROR(IF($A14=F$10,1000000,SQRT(SUMXMY2($B5:$G5,INDEX($B$2:$G$8,F$10,0)))),1000000)</f>
        <v>1000000</v>
      </c>
      <c r="G14">
        <f>IFERROR(IF($A14=G$10,1000000,SQRT(SUMXMY2($B5:$G5,INDEX($B$2:$G$8,G$10,0)))),1000000)</f>
        <v>1000000</v>
      </c>
      <c r="H14">
        <f>IFERROR(IF($A14=H$10,1000000,SQRT(SUMXMY2($B5:$G5,INDEX($B$2:$G$8,H$10,0)))),1000000)</f>
        <v>1000000</v>
      </c>
      <c r="I14" t="e">
        <f t="shared" si="0"/>
        <v>#N/A</v>
      </c>
    </row>
    <row r="15" spans="1:9">
      <c r="A15" s="1">
        <v>5</v>
      </c>
      <c r="B15">
        <f>IFERROR(IF($A15=B$10,1000000,SQRT(SUMXMY2($B6:$G6,INDEX($B$2:$G$8,B$10,0)))),1000000)</f>
        <v>1000000</v>
      </c>
      <c r="C15">
        <f>IFERROR(IF($A15=C$10,1000000,SQRT(SUMXMY2($B6:$G6,INDEX($B$2:$G$8,C$10,0)))),1000000)</f>
        <v>1000000</v>
      </c>
      <c r="D15">
        <f>IFERROR(IF($A15=D$10,1000000,SQRT(SUMXMY2($B6:$G6,INDEX($B$2:$G$8,D$10,0)))),1000000)</f>
        <v>1000000</v>
      </c>
      <c r="E15">
        <f>IFERROR(IF($A15=E$10,1000000,SQRT(SUMXMY2($B6:$G6,INDEX($B$2:$G$8,E$10,0)))),1000000)</f>
        <v>1000000</v>
      </c>
      <c r="F15">
        <f>IFERROR(IF($A15=F$10,1000000,SQRT(SUMXMY2($B6:$G6,INDEX($B$2:$G$8,F$10,0)))),1000000)</f>
        <v>1000000</v>
      </c>
      <c r="G15">
        <f>IFERROR(IF($A15=G$10,1000000,SQRT(SUMXMY2($B6:$G6,INDEX($B$2:$G$8,G$10,0)))),1000000)</f>
        <v>1000000</v>
      </c>
      <c r="H15">
        <f>IFERROR(IF($A15=H$10,1000000,SQRT(SUMXMY2($B6:$G6,INDEX($B$2:$G$8,H$10,0)))),1000000)</f>
        <v>1000000</v>
      </c>
      <c r="I15" t="e">
        <f t="shared" si="0"/>
        <v>#N/A</v>
      </c>
    </row>
    <row r="16" spans="1:9">
      <c r="A16" s="1">
        <v>6</v>
      </c>
      <c r="B16">
        <f>IFERROR(IF($A16=B$10,1000000,SQRT(SUMXMY2($B7:$G7,INDEX($B$2:$G$8,B$10,0)))),1000000)</f>
        <v>2.51213472469133</v>
      </c>
      <c r="C16">
        <f>IFERROR(IF($A16=C$10,1000000,SQRT(SUMXMY2($B7:$G7,INDEX($B$2:$G$8,C$10,0)))),1000000)</f>
        <v>1000000</v>
      </c>
      <c r="D16">
        <f>IFERROR(IF($A16=D$10,1000000,SQRT(SUMXMY2($B7:$G7,INDEX($B$2:$G$8,D$10,0)))),1000000)</f>
        <v>1000000</v>
      </c>
      <c r="E16">
        <f>IFERROR(IF($A16=E$10,1000000,SQRT(SUMXMY2($B7:$G7,INDEX($B$2:$G$8,E$10,0)))),1000000)</f>
        <v>1000000</v>
      </c>
      <c r="F16">
        <f>IFERROR(IF($A16=F$10,1000000,SQRT(SUMXMY2($B7:$G7,INDEX($B$2:$G$8,F$10,0)))),1000000)</f>
        <v>1000000</v>
      </c>
      <c r="G16">
        <f>IFERROR(IF($A16=G$10,1000000,SQRT(SUMXMY2($B7:$G7,INDEX($B$2:$G$8,G$10,0)))),1000000)</f>
        <v>1000000</v>
      </c>
      <c r="H16">
        <f>IFERROR(IF($A16=H$10,1000000,SQRT(SUMXMY2($B7:$G7,INDEX($B$2:$G$8,H$10,0)))),1000000)</f>
        <v>1000000</v>
      </c>
      <c r="I16">
        <f t="shared" si="0"/>
        <v>1</v>
      </c>
    </row>
    <row r="17" spans="1:9">
      <c r="A17" s="1">
        <v>7</v>
      </c>
      <c r="B17">
        <f>IFERROR(IF($A17=B$10,1000000,SQRT(SUMXMY2($B8:$G8,INDEX($B$2:$G$8,B$10,0)))),1000000)</f>
        <v>1000000</v>
      </c>
      <c r="C17">
        <f>IFERROR(IF($A17=C$10,1000000,SQRT(SUMXMY2($B8:$G8,INDEX($B$2:$G$8,C$10,0)))),1000000)</f>
        <v>1000000</v>
      </c>
      <c r="D17">
        <f>IFERROR(IF($A17=D$10,1000000,SQRT(SUMXMY2($B8:$G8,INDEX($B$2:$G$8,D$10,0)))),1000000)</f>
        <v>1000000</v>
      </c>
      <c r="E17">
        <f>IFERROR(IF($A17=E$10,1000000,SQRT(SUMXMY2($B8:$G8,INDEX($B$2:$G$8,E$10,0)))),1000000)</f>
        <v>1000000</v>
      </c>
      <c r="F17">
        <f>IFERROR(IF($A17=F$10,1000000,SQRT(SUMXMY2($B8:$G8,INDEX($B$2:$G$8,F$10,0)))),1000000)</f>
        <v>1000000</v>
      </c>
      <c r="G17">
        <f>IFERROR(IF($A17=G$10,1000000,SQRT(SUMXMY2($B8:$G8,INDEX($B$2:$G$8,G$10,0)))),1000000)</f>
        <v>1000000</v>
      </c>
      <c r="H17">
        <f>IFERROR(IF($A17=H$10,1000000,SQRT(SUMXMY2($B8:$G8,INDEX($B$2:$G$8,H$10,0)))),1000000)</f>
        <v>1000000</v>
      </c>
      <c r="I17" t="e">
        <f t="shared" si="0"/>
        <v>#N/A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37"/>
  <sheetViews>
    <sheetView workbookViewId="0">
      <selection activeCell="K11" sqref="K11"/>
    </sheetView>
  </sheetViews>
  <sheetFormatPr defaultColWidth="9" defaultRowHeight="15"/>
  <cols>
    <col min="1" max="1" width="20.5714285714286" style="1" customWidth="1"/>
    <col min="4" max="6" width="8.57142857142857" customWidth="1"/>
    <col min="7" max="7" width="12.8571428571429" customWidth="1"/>
    <col min="8" max="8" width="8.57142857142857" customWidth="1"/>
    <col min="9" max="9" width="6.14285714285714" customWidth="1"/>
    <col min="10" max="14" width="7.28571428571429" customWidth="1"/>
    <col min="15" max="16" width="8.28571428571429" customWidth="1"/>
    <col min="18" max="19" width="9" style="1"/>
  </cols>
  <sheetData>
    <row r="1" spans="1:19">
      <c r="A1" s="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R1" s="1" t="s">
        <v>21</v>
      </c>
      <c r="S1" s="1" t="s">
        <v>22</v>
      </c>
    </row>
    <row r="2" spans="1:19">
      <c r="A2" s="1" t="s">
        <v>14</v>
      </c>
      <c r="B2">
        <v>0.658</v>
      </c>
      <c r="C2">
        <v>0.4225</v>
      </c>
      <c r="D2">
        <v>-0.74125</v>
      </c>
      <c r="E2">
        <v>0.005</v>
      </c>
      <c r="F2">
        <v>-1.27375</v>
      </c>
      <c r="G2">
        <v>-0.27</v>
      </c>
      <c r="H2" s="3">
        <v>11</v>
      </c>
      <c r="I2" s="3">
        <v>1</v>
      </c>
      <c r="J2" s="3">
        <v>1</v>
      </c>
      <c r="K2" s="3">
        <v>1</v>
      </c>
      <c r="L2" s="3">
        <v>1</v>
      </c>
      <c r="M2" s="3">
        <v>1</v>
      </c>
      <c r="N2" s="3">
        <v>1</v>
      </c>
      <c r="R2" s="1">
        <v>1</v>
      </c>
      <c r="S2" s="1">
        <v>0</v>
      </c>
    </row>
    <row r="3" spans="1:19">
      <c r="A3" s="1" t="s">
        <v>15</v>
      </c>
      <c r="H3" s="3">
        <v>12</v>
      </c>
      <c r="I3" s="3">
        <v>1</v>
      </c>
      <c r="J3" s="3">
        <v>1</v>
      </c>
      <c r="K3" s="3">
        <v>1</v>
      </c>
      <c r="L3" s="3">
        <v>1</v>
      </c>
      <c r="M3" s="3">
        <v>1</v>
      </c>
      <c r="N3" s="3">
        <v>1</v>
      </c>
      <c r="R3" s="1">
        <v>1</v>
      </c>
      <c r="S3" s="1">
        <v>1</v>
      </c>
    </row>
    <row r="4" spans="1:19">
      <c r="A4" s="1" t="s">
        <v>16</v>
      </c>
      <c r="H4" s="3">
        <v>10</v>
      </c>
      <c r="I4" s="3">
        <v>10</v>
      </c>
      <c r="J4" s="3">
        <v>2</v>
      </c>
      <c r="K4" s="3">
        <v>1</v>
      </c>
      <c r="L4" s="3">
        <v>1</v>
      </c>
      <c r="M4" s="3">
        <v>1</v>
      </c>
      <c r="N4" s="3">
        <v>1</v>
      </c>
      <c r="R4" s="1">
        <v>3</v>
      </c>
      <c r="S4" s="1">
        <v>1</v>
      </c>
    </row>
    <row r="5" spans="1:19">
      <c r="A5" s="1" t="s">
        <v>17</v>
      </c>
      <c r="H5" s="3">
        <v>14</v>
      </c>
      <c r="I5" s="3">
        <v>14</v>
      </c>
      <c r="J5" s="3">
        <v>2</v>
      </c>
      <c r="K5" s="3">
        <v>1</v>
      </c>
      <c r="L5" s="3">
        <v>1</v>
      </c>
      <c r="M5" s="3">
        <v>1</v>
      </c>
      <c r="N5" s="3">
        <v>1</v>
      </c>
      <c r="R5" s="1">
        <v>3</v>
      </c>
      <c r="S5" s="1">
        <v>0</v>
      </c>
    </row>
    <row r="6" spans="1:19">
      <c r="A6" s="1" t="s">
        <v>18</v>
      </c>
      <c r="H6" s="3">
        <v>15</v>
      </c>
      <c r="I6" s="3">
        <v>15</v>
      </c>
      <c r="J6" s="3">
        <v>15</v>
      </c>
      <c r="K6" s="3">
        <v>15</v>
      </c>
      <c r="L6" s="3">
        <v>1</v>
      </c>
      <c r="M6" s="3">
        <v>1</v>
      </c>
      <c r="N6" s="3">
        <v>1</v>
      </c>
      <c r="R6" s="1">
        <v>3</v>
      </c>
      <c r="S6" s="1">
        <v>1</v>
      </c>
    </row>
    <row r="7" spans="1:19">
      <c r="A7" s="1" t="s">
        <v>19</v>
      </c>
      <c r="B7">
        <v>2.39</v>
      </c>
      <c r="C7">
        <v>0.465</v>
      </c>
      <c r="D7">
        <v>-0.285</v>
      </c>
      <c r="E7">
        <v>1.22</v>
      </c>
      <c r="F7">
        <v>-2.515</v>
      </c>
      <c r="G7">
        <v>-0.56</v>
      </c>
      <c r="H7" s="3">
        <v>13</v>
      </c>
      <c r="I7" s="3">
        <v>13</v>
      </c>
      <c r="J7" s="3">
        <v>13</v>
      </c>
      <c r="K7" s="3">
        <v>13</v>
      </c>
      <c r="L7" s="3">
        <v>13</v>
      </c>
      <c r="M7" s="3">
        <v>3</v>
      </c>
      <c r="N7" s="3">
        <v>1</v>
      </c>
      <c r="R7" s="1">
        <v>2</v>
      </c>
      <c r="S7" s="1">
        <v>1</v>
      </c>
    </row>
    <row r="8" spans="1:19">
      <c r="A8" s="1" t="s">
        <v>20</v>
      </c>
      <c r="H8" s="3">
        <v>16</v>
      </c>
      <c r="I8" s="3">
        <v>16</v>
      </c>
      <c r="J8" s="3">
        <v>16</v>
      </c>
      <c r="K8" s="3">
        <v>16</v>
      </c>
      <c r="L8" s="3">
        <v>16</v>
      </c>
      <c r="M8" s="3">
        <v>3</v>
      </c>
      <c r="N8" s="3">
        <v>1</v>
      </c>
      <c r="R8" s="1">
        <v>2</v>
      </c>
      <c r="S8" s="1">
        <v>3</v>
      </c>
    </row>
    <row r="9" spans="9:19">
      <c r="I9" s="3"/>
      <c r="R9" s="1">
        <v>5</v>
      </c>
      <c r="S9" s="1">
        <v>3</v>
      </c>
    </row>
    <row r="10" spans="2:19">
      <c r="B10">
        <v>1</v>
      </c>
      <c r="C10">
        <v>2</v>
      </c>
      <c r="D10">
        <v>3</v>
      </c>
      <c r="E10">
        <v>4</v>
      </c>
      <c r="F10">
        <v>5</v>
      </c>
      <c r="G10">
        <v>6</v>
      </c>
      <c r="H10" s="3">
        <v>7</v>
      </c>
      <c r="R10" s="1">
        <v>5</v>
      </c>
      <c r="S10" s="1">
        <v>2</v>
      </c>
    </row>
    <row r="11" spans="1:19">
      <c r="A11" s="1">
        <v>1</v>
      </c>
      <c r="B11">
        <f>IFERROR(IF($A11=B$10,1000000,SQRT(SUMXMY2($B2:$G2,INDEX($B$2:$G$8,B$10,0)))),1000000)</f>
        <v>1000000</v>
      </c>
      <c r="C11">
        <f t="shared" ref="C11:H11" si="0">IFERROR(IF($A11=C$10,1000000,SQRT(SUMXMY2($B2:$G2,INDEX($B$2:$G$8,C$10,0)))),1000000)</f>
        <v>1000000</v>
      </c>
      <c r="D11">
        <f t="shared" si="0"/>
        <v>1000000</v>
      </c>
      <c r="E11">
        <f t="shared" si="0"/>
        <v>1000000</v>
      </c>
      <c r="F11">
        <f t="shared" si="0"/>
        <v>1000000</v>
      </c>
      <c r="G11">
        <f t="shared" si="0"/>
        <v>2.51213472469133</v>
      </c>
      <c r="H11">
        <f t="shared" si="0"/>
        <v>1000000</v>
      </c>
      <c r="I11">
        <f>MATCH(MIN(B$11:H$17),B11:H11,0)</f>
        <v>6</v>
      </c>
      <c r="K11" t="e">
        <f>AVERAGE(B5,B8)</f>
        <v>#DIV/0!</v>
      </c>
      <c r="L11" t="e">
        <f t="shared" ref="L11:P11" si="1">AVERAGE(C5,C8)</f>
        <v>#DIV/0!</v>
      </c>
      <c r="M11" t="e">
        <f t="shared" si="1"/>
        <v>#DIV/0!</v>
      </c>
      <c r="N11" t="e">
        <f t="shared" si="1"/>
        <v>#DIV/0!</v>
      </c>
      <c r="O11" t="e">
        <f t="shared" si="1"/>
        <v>#DIV/0!</v>
      </c>
      <c r="P11" t="e">
        <f t="shared" si="1"/>
        <v>#DIV/0!</v>
      </c>
      <c r="R11" s="1">
        <v>4</v>
      </c>
      <c r="S11" s="1">
        <v>2</v>
      </c>
    </row>
    <row r="12" spans="1:19">
      <c r="A12" s="1">
        <v>2</v>
      </c>
      <c r="B12">
        <f t="shared" ref="B12:H17" si="2">IFERROR(IF($A12=B$10,1000000,SQRT(SUMXMY2($B3:$G3,INDEX($B$2:$G$8,B$10,0)))),1000000)</f>
        <v>1000000</v>
      </c>
      <c r="C12">
        <f t="shared" si="2"/>
        <v>1000000</v>
      </c>
      <c r="D12">
        <f t="shared" si="2"/>
        <v>1000000</v>
      </c>
      <c r="E12">
        <f t="shared" si="2"/>
        <v>1000000</v>
      </c>
      <c r="F12">
        <f t="shared" si="2"/>
        <v>1000000</v>
      </c>
      <c r="G12">
        <f t="shared" si="2"/>
        <v>1000000</v>
      </c>
      <c r="H12">
        <f t="shared" si="2"/>
        <v>1000000</v>
      </c>
      <c r="I12" t="e">
        <f t="shared" ref="I12:I17" si="3">MATCH(MIN(B$11:H$17),B12:H12,0)</f>
        <v>#N/A</v>
      </c>
      <c r="K12">
        <v>2.39</v>
      </c>
      <c r="L12">
        <v>0.465</v>
      </c>
      <c r="M12">
        <v>-0.285</v>
      </c>
      <c r="N12">
        <v>1.22</v>
      </c>
      <c r="O12">
        <v>-2.515</v>
      </c>
      <c r="P12">
        <v>-0.56</v>
      </c>
      <c r="R12" s="1">
        <v>4</v>
      </c>
      <c r="S12" s="1">
        <v>0</v>
      </c>
    </row>
    <row r="13" spans="1:19">
      <c r="A13" s="1">
        <v>3</v>
      </c>
      <c r="B13">
        <f t="shared" si="2"/>
        <v>1000000</v>
      </c>
      <c r="C13">
        <f t="shared" si="2"/>
        <v>1000000</v>
      </c>
      <c r="D13">
        <f t="shared" si="2"/>
        <v>1000000</v>
      </c>
      <c r="E13">
        <f t="shared" si="2"/>
        <v>1000000</v>
      </c>
      <c r="F13">
        <f t="shared" si="2"/>
        <v>1000000</v>
      </c>
      <c r="G13">
        <f t="shared" si="2"/>
        <v>1000000</v>
      </c>
      <c r="H13">
        <f t="shared" si="2"/>
        <v>1000000</v>
      </c>
      <c r="I13" t="e">
        <f t="shared" si="3"/>
        <v>#N/A</v>
      </c>
      <c r="R13" s="1">
        <v>4</v>
      </c>
      <c r="S13" s="1">
        <v>2</v>
      </c>
    </row>
    <row r="14" spans="1:19">
      <c r="A14" s="1">
        <v>4</v>
      </c>
      <c r="B14">
        <f t="shared" si="2"/>
        <v>1000000</v>
      </c>
      <c r="C14">
        <f t="shared" si="2"/>
        <v>1000000</v>
      </c>
      <c r="D14">
        <f t="shared" si="2"/>
        <v>1000000</v>
      </c>
      <c r="E14">
        <f t="shared" si="2"/>
        <v>1000000</v>
      </c>
      <c r="F14">
        <f t="shared" si="2"/>
        <v>1000000</v>
      </c>
      <c r="G14">
        <f t="shared" si="2"/>
        <v>1000000</v>
      </c>
      <c r="H14">
        <f t="shared" si="2"/>
        <v>1000000</v>
      </c>
      <c r="I14" t="e">
        <f t="shared" si="3"/>
        <v>#N/A</v>
      </c>
      <c r="R14" s="1">
        <v>6</v>
      </c>
      <c r="S14" s="1">
        <v>2</v>
      </c>
    </row>
    <row r="15" spans="1:19">
      <c r="A15" s="1">
        <v>5</v>
      </c>
      <c r="B15">
        <f t="shared" si="2"/>
        <v>1000000</v>
      </c>
      <c r="C15">
        <f t="shared" si="2"/>
        <v>1000000</v>
      </c>
      <c r="D15">
        <f t="shared" si="2"/>
        <v>1000000</v>
      </c>
      <c r="E15">
        <f t="shared" si="2"/>
        <v>1000000</v>
      </c>
      <c r="F15">
        <f t="shared" si="2"/>
        <v>1000000</v>
      </c>
      <c r="G15">
        <f t="shared" si="2"/>
        <v>1000000</v>
      </c>
      <c r="H15">
        <f t="shared" si="2"/>
        <v>1000000</v>
      </c>
      <c r="I15" t="e">
        <f t="shared" si="3"/>
        <v>#N/A</v>
      </c>
      <c r="R15" s="1">
        <v>6</v>
      </c>
      <c r="S15" s="1">
        <v>0</v>
      </c>
    </row>
    <row r="16" spans="1:19">
      <c r="A16" s="1">
        <v>6</v>
      </c>
      <c r="B16">
        <f t="shared" si="2"/>
        <v>2.51213472469133</v>
      </c>
      <c r="C16">
        <f t="shared" si="2"/>
        <v>1000000</v>
      </c>
      <c r="D16">
        <f t="shared" si="2"/>
        <v>1000000</v>
      </c>
      <c r="E16">
        <f t="shared" si="2"/>
        <v>1000000</v>
      </c>
      <c r="F16">
        <f t="shared" si="2"/>
        <v>1000000</v>
      </c>
      <c r="G16">
        <f t="shared" si="2"/>
        <v>1000000</v>
      </c>
      <c r="H16">
        <f t="shared" si="2"/>
        <v>1000000</v>
      </c>
      <c r="I16">
        <f t="shared" si="3"/>
        <v>1</v>
      </c>
      <c r="R16" s="1">
        <v>6</v>
      </c>
      <c r="S16" s="1">
        <v>2</v>
      </c>
    </row>
    <row r="17" spans="1:19">
      <c r="A17" s="1">
        <v>7</v>
      </c>
      <c r="B17">
        <f t="shared" si="2"/>
        <v>1000000</v>
      </c>
      <c r="C17">
        <f t="shared" si="2"/>
        <v>1000000</v>
      </c>
      <c r="D17">
        <f t="shared" si="2"/>
        <v>1000000</v>
      </c>
      <c r="E17">
        <f t="shared" si="2"/>
        <v>1000000</v>
      </c>
      <c r="F17">
        <f t="shared" si="2"/>
        <v>1000000</v>
      </c>
      <c r="G17">
        <f t="shared" si="2"/>
        <v>1000000</v>
      </c>
      <c r="H17">
        <f t="shared" si="2"/>
        <v>1000000</v>
      </c>
      <c r="I17" t="e">
        <f t="shared" si="3"/>
        <v>#N/A</v>
      </c>
      <c r="R17" s="1">
        <v>5</v>
      </c>
      <c r="S17" s="1">
        <v>2</v>
      </c>
    </row>
    <row r="18" spans="18:19">
      <c r="R18" s="1">
        <v>5</v>
      </c>
      <c r="S18" s="1">
        <v>3</v>
      </c>
    </row>
    <row r="19" spans="18:19">
      <c r="R19" s="1">
        <v>3</v>
      </c>
      <c r="S19" s="1">
        <v>3</v>
      </c>
    </row>
    <row r="20" spans="18:19">
      <c r="R20" s="1">
        <v>3</v>
      </c>
      <c r="S20" s="1">
        <v>4</v>
      </c>
    </row>
    <row r="21" spans="18:19">
      <c r="R21" s="1">
        <v>8</v>
      </c>
      <c r="S21" s="1">
        <v>4</v>
      </c>
    </row>
    <row r="22" spans="18:19">
      <c r="R22" s="1">
        <v>8</v>
      </c>
      <c r="S22" s="1">
        <v>0</v>
      </c>
    </row>
    <row r="23" spans="18:19">
      <c r="R23" s="1">
        <v>8</v>
      </c>
      <c r="S23" s="1">
        <v>4</v>
      </c>
    </row>
    <row r="24" spans="18:19">
      <c r="R24" s="1">
        <v>5</v>
      </c>
      <c r="S24" s="1">
        <v>4</v>
      </c>
    </row>
    <row r="25" spans="18:19">
      <c r="R25" s="1">
        <v>5</v>
      </c>
      <c r="S25" s="1">
        <v>6</v>
      </c>
    </row>
    <row r="26" spans="18:19">
      <c r="R26" s="1">
        <v>11</v>
      </c>
      <c r="S26" s="1">
        <v>6</v>
      </c>
    </row>
    <row r="27" spans="18:19">
      <c r="R27" s="1">
        <v>11</v>
      </c>
      <c r="S27" s="1">
        <v>5</v>
      </c>
    </row>
    <row r="28" spans="18:19">
      <c r="R28" s="1">
        <v>10</v>
      </c>
      <c r="S28" s="1">
        <v>5</v>
      </c>
    </row>
    <row r="29" spans="18:19">
      <c r="R29" s="1">
        <v>10</v>
      </c>
      <c r="S29" s="1">
        <v>0</v>
      </c>
    </row>
    <row r="30" spans="18:19">
      <c r="R30" s="1">
        <v>10</v>
      </c>
      <c r="S30" s="1">
        <v>5</v>
      </c>
    </row>
    <row r="31" spans="18:19">
      <c r="R31" s="1">
        <v>12</v>
      </c>
      <c r="S31" s="1">
        <v>5</v>
      </c>
    </row>
    <row r="32" spans="18:19">
      <c r="R32" s="1">
        <v>12</v>
      </c>
      <c r="S32" s="1">
        <v>0</v>
      </c>
    </row>
    <row r="33" spans="18:19">
      <c r="R33" s="1">
        <v>12</v>
      </c>
      <c r="S33" s="1">
        <v>5</v>
      </c>
    </row>
    <row r="34" spans="18:19">
      <c r="R34" s="1">
        <v>11</v>
      </c>
      <c r="S34" s="1">
        <v>5</v>
      </c>
    </row>
    <row r="35" spans="18:19">
      <c r="R35" s="1">
        <v>11</v>
      </c>
      <c r="S35" s="1">
        <v>6</v>
      </c>
    </row>
    <row r="36" spans="18:19">
      <c r="R36" s="1">
        <v>8</v>
      </c>
      <c r="S36" s="1">
        <v>6</v>
      </c>
    </row>
    <row r="37" spans="18:19">
      <c r="R37" s="1">
        <v>8</v>
      </c>
      <c r="S37" s="1">
        <v>7</v>
      </c>
    </row>
  </sheetData>
  <sortState ref="A2:N8">
    <sortCondition ref="N2:N8"/>
  </sortState>
  <pageMargins left="0.7" right="0.7" top="0.75" bottom="0.75" header="0.3" footer="0.3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Hierarchical Clustering</vt:lpstr>
      <vt:lpstr>Dendrogram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Hoàng Sói</cp:lastModifiedBy>
  <dcterms:created xsi:type="dcterms:W3CDTF">2020-06-26T21:43:00Z</dcterms:created>
  <dcterms:modified xsi:type="dcterms:W3CDTF">2025-12-08T01:09:42Z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4A0E39C2A6904F4EBF34BEFB4DE1BB3E_12</vt:lpwstr>
  </property>
  <property fmtid="{D5CDD505-2E9C-101B-9397-08002B2CF9AE}" pid="3" name="KSOProductBuildVer">
    <vt:lpwstr>1033-12.2.0.23155</vt:lpwstr>
  </property>
</Properties>
</file>