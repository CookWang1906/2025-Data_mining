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firstSheet="4"/>
  </bookViews>
  <sheets>
    <sheet name="1" sheetId="1" r:id="rId1"/>
    <sheet name="2" sheetId="16" r:id="rId2"/>
    <sheet name="3" sheetId="17" r:id="rId3"/>
    <sheet name="4" sheetId="18" r:id="rId4"/>
    <sheet name="5" sheetId="19" r:id="rId5"/>
    <sheet name="6" sheetId="20" r:id="rId6"/>
    <sheet name="7" sheetId="21" r:id="rId7"/>
    <sheet name="8" sheetId="22" r:id="rId8"/>
    <sheet name="9" sheetId="23" r:id="rId9"/>
    <sheet name="hc-1" sheetId="25" r:id="rId10"/>
    <sheet name="hc-2" sheetId="27" r:id="rId11"/>
    <sheet name="hc-3" sheetId="28" r:id="rId12"/>
    <sheet name="hc-4" sheetId="30" r:id="rId13"/>
    <sheet name="hc-5" sheetId="31" r:id="rId14"/>
    <sheet name="hc-6" sheetId="32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<sst xmlns="http://schemas.openxmlformats.org/spreadsheetml/2006/main" count="1139" uniqueCount="75">
  <si>
    <t>Mean</t>
  </si>
  <si>
    <t>Distances</t>
  </si>
  <si>
    <t>Country</t>
  </si>
  <si>
    <t>Murder</t>
  </si>
  <si>
    <t>Assault</t>
  </si>
  <si>
    <t>UrbanPop</t>
  </si>
  <si>
    <t>Rape</t>
  </si>
  <si>
    <t>Cluster</t>
  </si>
  <si>
    <t>C1</t>
  </si>
  <si>
    <t>C2</t>
  </si>
  <si>
    <t>C3</t>
  </si>
  <si>
    <t>C4</t>
  </si>
  <si>
    <t>C5</t>
  </si>
  <si>
    <t>C6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</si>
  <si>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</si>
  <si>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</si>
  <si>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</si>
  <si>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</si>
  <si>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</si>
  <si>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</si>
  <si>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</si>
  <si>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</si>
  <si>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</si>
  <si>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</si>
  <si>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</si>
  <si>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</si>
  <si>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</si>
  <si>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</si>
  <si>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</si>
  <si>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</si>
  <si>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</si>
  <si>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</si>
  <si>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</si>
  <si>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</si>
  <si>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</si>
  <si>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</si>
  <si>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</si>
  <si>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</si>
  <si>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</si>
  <si>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</si>
  <si>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</si>
  <si>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</si>
  <si>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</si>
  <si>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</si>
  <si>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</si>
  <si>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</si>
  <si>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</si>
  <si>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</si>
  <si>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</si>
  <si>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</si>
  <si>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</si>
  <si>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</si>
  <si>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</si>
  <si>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</si>
  <si>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</si>
  <si>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</si>
  <si>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</si>
  <si>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</si>
  <si>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</si>
  <si>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</si>
  <si>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</si>
  <si>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</si>
  <si>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</si>
  <si>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</si>
  <si>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Old cluster</t>
  </si>
  <si>
    <t>Difference</t>
  </si>
  <si>
    <t>convergence</t>
  </si>
  <si>
    <t>Step-1</t>
  </si>
  <si>
    <t>Step-2</t>
  </si>
  <si>
    <t>Step-3</t>
  </si>
  <si>
    <t>Step-4</t>
  </si>
  <si>
    <t>Step-5</t>
  </si>
  <si>
    <t>Step-6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</si>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</sst>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/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6" applyNumberFormat="0" applyAlignment="0" applyProtection="0"/>
    <xf numFmtId="0" fontId="13" fillId="4" borderId="7" applyNumberFormat="0" applyAlignment="0" applyProtection="0"/>
    <xf numFmtId="0" fontId="14" fillId="4" borderId="6" applyNumberFormat="0" applyAlignment="0" applyProtection="0"/>
    <xf numFmtId="0" fontId="15" fillId="5" borderId="8" applyNumberFormat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/>
              <a:t>Dendrogram</a:t>
            </a:r>
            <a:endParaRPr lang="vi-V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'hc-6'!$P$1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'hc-6'!$O$2:$O$32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9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9</c:v>
                </c:pt>
                <c:pt idx="28">
                  <c:v>9</c:v>
                </c:pt>
                <c:pt idx="29">
                  <c:v>6</c:v>
                </c:pt>
                <c:pt idx="30">
                  <c:v>6</c:v>
                </c:pt>
              </c:numCache>
            </c:numRef>
          </c:xVal>
          <c:yVal>
            <c:numRef>
              <c:f>'hc-6'!$P$2:$P$32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0</c:v>
                </c:pt>
                <c:pt idx="23">
                  <c:v>4</c:v>
                </c:pt>
                <c:pt idx="24">
                  <c:v>4</c:v>
                </c:pt>
                <c:pt idx="25">
                  <c:v>0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201439"/>
        <c:axId val="1187198111"/>
      </c:scatterChart>
      <c:valAx>
        <c:axId val="11872014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C1             </a:t>
                </a:r>
                <a:r>
                  <a:rPr lang="vi-VN" altLang="en-US" sz="1100" b="0" i="0" baseline="0">
                    <a:effectLst/>
                  </a:rPr>
                  <a:t>      </a:t>
                </a:r>
                <a:r>
                  <a:rPr lang="en-US" sz="1100" b="0" i="0" baseline="0">
                    <a:effectLst/>
                  </a:rPr>
                  <a:t> </a:t>
                </a:r>
                <a:r>
                  <a:rPr lang="vi-VN" altLang="en-US" sz="1100" b="0" i="0" baseline="0">
                    <a:effectLst/>
                  </a:rPr>
                  <a:t> </a:t>
                </a:r>
                <a:r>
                  <a:rPr lang="en-US" sz="1100" b="0" i="0" baseline="0">
                    <a:effectLst/>
                  </a:rPr>
                  <a:t>    C2    </a:t>
                </a:r>
                <a:r>
                  <a:rPr lang="vi-VN" altLang="en-US" sz="1100" b="0" i="0" baseline="0">
                    <a:effectLst/>
                  </a:rPr>
                  <a:t>  </a:t>
                </a:r>
                <a:r>
                  <a:rPr lang="en-US" sz="1100" b="0" i="0" baseline="0">
                    <a:effectLst/>
                  </a:rPr>
                  <a:t>     C3              </a:t>
                </a:r>
                <a:r>
                  <a:rPr lang="vi-VN" altLang="en-US" sz="1100" b="0" i="0" baseline="0">
                    <a:effectLst/>
                  </a:rPr>
                  <a:t>       </a:t>
                </a:r>
                <a:r>
                  <a:rPr lang="en-US" sz="1100" b="0" i="0" baseline="0">
                    <a:effectLst/>
                  </a:rPr>
                  <a:t>    C4              </a:t>
                </a:r>
                <a:r>
                  <a:rPr lang="vi-VN" altLang="en-US" sz="1100" b="0" i="0" baseline="0">
                    <a:effectLst/>
                  </a:rPr>
                  <a:t>      </a:t>
                </a:r>
                <a:r>
                  <a:rPr lang="en-US" sz="1100" b="0" i="0" baseline="0">
                    <a:effectLst/>
                  </a:rPr>
                  <a:t>      C5              </a:t>
                </a:r>
                <a:r>
                  <a:rPr lang="vi-VN" altLang="en-US" sz="1100" b="0" i="0" baseline="0">
                    <a:effectLst/>
                  </a:rPr>
                  <a:t>      </a:t>
                </a:r>
                <a:r>
                  <a:rPr lang="en-US" sz="1100" b="0" i="0" baseline="0">
                    <a:effectLst/>
                  </a:rPr>
                  <a:t>     C6</a:t>
                </a:r>
                <a:endParaRPr lang="en-US" sz="6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098209529399089"/>
              <c:y val="0.81497179542073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7198111"/>
        <c:crosses val="autoZero"/>
        <c:crossBetween val="midCat"/>
      </c:valAx>
      <c:valAx>
        <c:axId val="118719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720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7975f48-b192-4bf7-969c-20f28f29df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46990</xdr:colOff>
      <xdr:row>7</xdr:row>
      <xdr:rowOff>104775</xdr:rowOff>
    </xdr:from>
    <xdr:to>
      <xdr:col>13</xdr:col>
      <xdr:colOff>360680</xdr:colOff>
      <xdr:row>23</xdr:row>
      <xdr:rowOff>48260</xdr:rowOff>
    </xdr:to>
    <xdr:graphicFrame>
      <xdr:nvGraphicFramePr>
        <xdr:cNvPr id="3" name="Chart 2"/>
        <xdr:cNvGraphicFramePr/>
      </xdr:nvGraphicFramePr>
      <xdr:xfrm>
        <a:off x="1904365" y="1438275"/>
        <a:ext cx="6352540" cy="2991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"/>
  <sheetViews>
    <sheetView tabSelected="1" topLeftCell="A25" workbookViewId="0">
      <selection activeCell="L32" sqref="L32"/>
    </sheetView>
  </sheetViews>
  <sheetFormatPr defaultColWidth="9" defaultRowHeight="15"/>
  <sheetData>
    <row r="1" spans="7:18">
      <c r="G1" s="7" t="s">
        <v>0</v>
      </c>
      <c r="H1" s="7"/>
      <c r="I1" s="7"/>
      <c r="J1" s="7"/>
      <c r="K1" s="7"/>
      <c r="L1" s="7"/>
      <c r="M1" s="7"/>
      <c r="O1" s="7" t="s">
        <v>1</v>
      </c>
      <c r="P1" s="7"/>
      <c r="Q1" s="7"/>
      <c r="R1" s="7"/>
    </row>
    <row r="2" spans="1:21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7</v>
      </c>
    </row>
    <row r="3" spans="1:21">
      <c r="A3" t="s">
        <v>14</v>
      </c>
      <c r="B3">
        <v>12</v>
      </c>
      <c r="C3">
        <v>193</v>
      </c>
      <c r="D3">
        <v>51</v>
      </c>
      <c r="E3">
        <v>21</v>
      </c>
      <c r="G3" t="s">
        <v>3</v>
      </c>
      <c r="H3">
        <v>1.3</v>
      </c>
      <c r="I3">
        <v>1.6</v>
      </c>
      <c r="J3">
        <v>11</v>
      </c>
      <c r="K3">
        <v>16</v>
      </c>
      <c r="L3">
        <v>5</v>
      </c>
      <c r="M3">
        <v>16</v>
      </c>
      <c r="O3">
        <f>SQRT(SUMXMY2($B3:$E3,H$3:H$6))</f>
        <v>196.101351346695</v>
      </c>
      <c r="P3">
        <f t="shared" ref="P3:T3" si="0">SQRT(SUMXMY2($B3:$E3,I$3:I$6))</f>
        <v>44.9128044103238</v>
      </c>
      <c r="Q3">
        <f t="shared" si="0"/>
        <v>34.2636833980236</v>
      </c>
      <c r="R3">
        <f t="shared" si="0"/>
        <v>71.8122552215149</v>
      </c>
      <c r="S3">
        <f t="shared" si="0"/>
        <v>52.8488410468952</v>
      </c>
      <c r="T3">
        <f t="shared" si="0"/>
        <v>16.431676725155</v>
      </c>
      <c r="U3" t="str">
        <f>INDEX($O$2:$T$2,1,MATCH(MIN(O3:T3),O3:T3,0))</f>
        <v>C6</v>
      </c>
    </row>
    <row r="4" spans="1:21">
      <c r="A4" t="s">
        <v>15</v>
      </c>
      <c r="B4">
        <v>9</v>
      </c>
      <c r="C4">
        <v>222</v>
      </c>
      <c r="D4">
        <v>39</v>
      </c>
      <c r="E4">
        <v>42</v>
      </c>
      <c r="G4" t="s">
        <v>4</v>
      </c>
      <c r="H4">
        <v>0.5</v>
      </c>
      <c r="I4">
        <v>160</v>
      </c>
      <c r="J4">
        <v>210</v>
      </c>
      <c r="K4">
        <v>122</v>
      </c>
      <c r="L4">
        <v>155</v>
      </c>
      <c r="M4">
        <v>190</v>
      </c>
      <c r="O4">
        <f t="shared" ref="O4:O52" si="1">SQRT(SUMXMY2($B4:$E4,H$3:H$6))</f>
        <v>225.839633368459</v>
      </c>
      <c r="P4">
        <f t="shared" ref="P4:P52" si="2">SQRT(SUMXMY2($B4:$E4,I$3:I$6))</f>
        <v>78.9161580413036</v>
      </c>
      <c r="Q4">
        <f t="shared" ref="Q4:Q52" si="3">SQRT(SUMXMY2($B4:$E4,J$3:J$6))</f>
        <v>36.9459064038223</v>
      </c>
      <c r="R4">
        <f t="shared" ref="R4:R52" si="4">SQRT(SUMXMY2($B4:$E4,K$3:K$6))</f>
        <v>103.315052146335</v>
      </c>
      <c r="S4">
        <f t="shared" ref="S4:S52" si="5">SQRT(SUMXMY2($B4:$E4,L$3:L$6))</f>
        <v>85.6621269873682</v>
      </c>
      <c r="T4">
        <f t="shared" ref="T4:T52" si="6">SQRT(SUMXMY2($B4:$E4,M$3:M$6))</f>
        <v>44.1021541423999</v>
      </c>
      <c r="U4" t="str">
        <f t="shared" ref="U4:U52" si="7">INDEX($O$2:$T$2,1,MATCH(MIN(O4:T4),O4:T4,0))</f>
        <v>C3</v>
      </c>
    </row>
    <row r="5" spans="1:21">
      <c r="A5" t="s">
        <v>16</v>
      </c>
      <c r="B5">
        <v>6</v>
      </c>
      <c r="C5">
        <v>226</v>
      </c>
      <c r="D5">
        <v>72</v>
      </c>
      <c r="E5">
        <v>30</v>
      </c>
      <c r="G5" t="s">
        <v>5</v>
      </c>
      <c r="H5">
        <v>20</v>
      </c>
      <c r="I5">
        <v>79</v>
      </c>
      <c r="J5">
        <v>23</v>
      </c>
      <c r="K5">
        <v>59</v>
      </c>
      <c r="L5">
        <v>87</v>
      </c>
      <c r="M5">
        <v>65</v>
      </c>
      <c r="O5">
        <f t="shared" si="1"/>
        <v>233.035061739645</v>
      </c>
      <c r="P5">
        <f t="shared" si="2"/>
        <v>68.186215615768</v>
      </c>
      <c r="Q5">
        <f t="shared" si="3"/>
        <v>55.1633936592012</v>
      </c>
      <c r="R5">
        <f t="shared" si="4"/>
        <v>105.328058939677</v>
      </c>
      <c r="S5">
        <f t="shared" si="5"/>
        <v>73.4029972140103</v>
      </c>
      <c r="T5">
        <f t="shared" si="6"/>
        <v>38.0657326213486</v>
      </c>
      <c r="U5" t="str">
        <f t="shared" si="7"/>
        <v>C6</v>
      </c>
    </row>
    <row r="6" spans="1:21">
      <c r="A6" t="s">
        <v>17</v>
      </c>
      <c r="B6">
        <v>8</v>
      </c>
      <c r="C6">
        <v>177</v>
      </c>
      <c r="D6">
        <v>50</v>
      </c>
      <c r="E6">
        <v>17</v>
      </c>
      <c r="G6" t="s">
        <v>6</v>
      </c>
      <c r="H6">
        <v>3</v>
      </c>
      <c r="I6">
        <v>15</v>
      </c>
      <c r="J6">
        <v>11</v>
      </c>
      <c r="K6">
        <v>27</v>
      </c>
      <c r="L6">
        <v>19</v>
      </c>
      <c r="M6">
        <v>28</v>
      </c>
      <c r="O6">
        <f t="shared" si="1"/>
        <v>179.702921512145</v>
      </c>
      <c r="P6">
        <f t="shared" si="2"/>
        <v>34.2776895370735</v>
      </c>
      <c r="Q6">
        <f t="shared" si="3"/>
        <v>43.1624837098145</v>
      </c>
      <c r="R6">
        <f t="shared" si="4"/>
        <v>57.1839138219832</v>
      </c>
      <c r="S6">
        <f t="shared" si="5"/>
        <v>43.1972221329104</v>
      </c>
      <c r="T6">
        <f t="shared" si="6"/>
        <v>24.0624188310319</v>
      </c>
      <c r="U6" t="str">
        <f t="shared" si="7"/>
        <v>C6</v>
      </c>
    </row>
    <row r="7" spans="1:21">
      <c r="A7" t="s">
        <v>18</v>
      </c>
      <c r="B7">
        <v>7</v>
      </c>
      <c r="C7">
        <v>235</v>
      </c>
      <c r="D7">
        <v>86</v>
      </c>
      <c r="E7">
        <v>39</v>
      </c>
      <c r="O7">
        <f t="shared" si="1"/>
        <v>246.32243097209</v>
      </c>
      <c r="P7">
        <f t="shared" si="2"/>
        <v>79.2411509255134</v>
      </c>
      <c r="Q7">
        <f t="shared" si="3"/>
        <v>73.4438561079142</v>
      </c>
      <c r="R7">
        <f t="shared" si="4"/>
        <v>117.145209035624</v>
      </c>
      <c r="S7">
        <f t="shared" si="5"/>
        <v>82.4924238945614</v>
      </c>
      <c r="T7">
        <f t="shared" si="6"/>
        <v>51.6526862805798</v>
      </c>
      <c r="U7" t="str">
        <f t="shared" si="7"/>
        <v>C6</v>
      </c>
    </row>
    <row r="8" spans="1:21">
      <c r="A8" t="s">
        <v>19</v>
      </c>
      <c r="B8">
        <v>5</v>
      </c>
      <c r="C8">
        <v>170</v>
      </c>
      <c r="D8">
        <v>78</v>
      </c>
      <c r="E8">
        <v>37</v>
      </c>
      <c r="O8">
        <f t="shared" si="1"/>
        <v>182.38404535485</v>
      </c>
      <c r="P8">
        <f t="shared" si="2"/>
        <v>24.4245777855012</v>
      </c>
      <c r="Q8">
        <f t="shared" si="3"/>
        <v>73.0547739713155</v>
      </c>
      <c r="R8">
        <f t="shared" si="4"/>
        <v>53.7215040742532</v>
      </c>
      <c r="S8">
        <f t="shared" si="5"/>
        <v>25.0998007960223</v>
      </c>
      <c r="T8">
        <f t="shared" si="6"/>
        <v>27.7668867538296</v>
      </c>
      <c r="U8" t="str">
        <f t="shared" si="7"/>
        <v>C2</v>
      </c>
    </row>
    <row r="9" spans="1:21">
      <c r="A9" t="s">
        <v>20</v>
      </c>
      <c r="B9">
        <v>0</v>
      </c>
      <c r="C9">
        <v>35</v>
      </c>
      <c r="D9">
        <v>75</v>
      </c>
      <c r="E9">
        <v>7</v>
      </c>
      <c r="O9">
        <f t="shared" si="1"/>
        <v>65.0610482546969</v>
      </c>
      <c r="P9">
        <f t="shared" si="2"/>
        <v>125.329804914872</v>
      </c>
      <c r="Q9">
        <f t="shared" si="3"/>
        <v>182.937147676463</v>
      </c>
      <c r="R9">
        <f t="shared" si="4"/>
        <v>92.0923449587424</v>
      </c>
      <c r="S9">
        <f t="shared" si="5"/>
        <v>121.297155778691</v>
      </c>
      <c r="T9">
        <f t="shared" si="6"/>
        <v>157.549992066011</v>
      </c>
      <c r="U9" t="str">
        <f t="shared" si="7"/>
        <v>C1</v>
      </c>
    </row>
    <row r="10" spans="1:21">
      <c r="A10" t="s">
        <v>21</v>
      </c>
      <c r="B10">
        <v>4</v>
      </c>
      <c r="C10">
        <v>198</v>
      </c>
      <c r="D10">
        <v>70</v>
      </c>
      <c r="E10">
        <v>15</v>
      </c>
      <c r="O10">
        <f t="shared" si="1"/>
        <v>204.101788331215</v>
      </c>
      <c r="P10">
        <f t="shared" si="2"/>
        <v>39.1249281149499</v>
      </c>
      <c r="Q10">
        <f t="shared" si="3"/>
        <v>49.173163412577</v>
      </c>
      <c r="R10">
        <f t="shared" si="4"/>
        <v>78.644770964127</v>
      </c>
      <c r="S10">
        <f t="shared" si="5"/>
        <v>46.4219775537406</v>
      </c>
      <c r="T10">
        <f t="shared" si="6"/>
        <v>20.0499376557634</v>
      </c>
      <c r="U10" t="str">
        <f t="shared" si="7"/>
        <v>C6</v>
      </c>
    </row>
    <row r="11" spans="1:21">
      <c r="A11" t="s">
        <v>22</v>
      </c>
      <c r="B11">
        <v>13</v>
      </c>
      <c r="C11">
        <v>259</v>
      </c>
      <c r="D11">
        <v>74</v>
      </c>
      <c r="E11">
        <v>30</v>
      </c>
      <c r="O11">
        <f t="shared" si="1"/>
        <v>265.714395545292</v>
      </c>
      <c r="P11">
        <f t="shared" si="2"/>
        <v>100.90074330747</v>
      </c>
      <c r="Q11">
        <f t="shared" si="3"/>
        <v>73.2598116295695</v>
      </c>
      <c r="R11">
        <f t="shared" si="4"/>
        <v>137.884009225145</v>
      </c>
      <c r="S11">
        <f t="shared" si="5"/>
        <v>105.688220724923</v>
      </c>
      <c r="T11">
        <f t="shared" si="6"/>
        <v>69.6778300465794</v>
      </c>
      <c r="U11" t="str">
        <f t="shared" si="7"/>
        <v>C6</v>
      </c>
    </row>
    <row r="12" spans="1:21">
      <c r="A12" t="s">
        <v>23</v>
      </c>
      <c r="B12">
        <v>15</v>
      </c>
      <c r="C12">
        <v>136</v>
      </c>
      <c r="D12">
        <v>52</v>
      </c>
      <c r="E12">
        <v>24</v>
      </c>
      <c r="O12">
        <f t="shared" si="1"/>
        <v>141.467098648414</v>
      </c>
      <c r="P12">
        <f t="shared" si="2"/>
        <v>39.567158098605</v>
      </c>
      <c r="Q12">
        <f t="shared" si="3"/>
        <v>80.6349800024778</v>
      </c>
      <c r="R12">
        <f t="shared" si="4"/>
        <v>15.9687194226713</v>
      </c>
      <c r="S12">
        <f t="shared" si="5"/>
        <v>41.3642357598929</v>
      </c>
      <c r="T12">
        <f t="shared" si="6"/>
        <v>55.6956012625773</v>
      </c>
      <c r="U12" t="str">
        <f t="shared" si="7"/>
        <v>C4</v>
      </c>
    </row>
    <row r="13" spans="1:21">
      <c r="A13" t="s">
        <v>24</v>
      </c>
      <c r="B13">
        <v>5</v>
      </c>
      <c r="C13">
        <v>32</v>
      </c>
      <c r="D13">
        <v>82</v>
      </c>
      <c r="E13">
        <v>17</v>
      </c>
      <c r="O13">
        <f t="shared" si="1"/>
        <v>71.034780213639</v>
      </c>
      <c r="P13">
        <f t="shared" si="2"/>
        <v>128.095901573782</v>
      </c>
      <c r="Q13">
        <f t="shared" si="3"/>
        <v>187.715209825949</v>
      </c>
      <c r="R13">
        <f t="shared" si="4"/>
        <v>94.0744386111339</v>
      </c>
      <c r="S13">
        <f t="shared" si="5"/>
        <v>123.117829740456</v>
      </c>
      <c r="T13">
        <f t="shared" si="6"/>
        <v>159.671537851929</v>
      </c>
      <c r="U13" t="str">
        <f t="shared" si="7"/>
        <v>C1</v>
      </c>
    </row>
    <row r="14" spans="1:21">
      <c r="A14" t="s">
        <v>25</v>
      </c>
      <c r="B14">
        <v>0</v>
      </c>
      <c r="C14">
        <v>54</v>
      </c>
      <c r="D14">
        <v>47</v>
      </c>
      <c r="E14">
        <v>12</v>
      </c>
      <c r="O14">
        <f t="shared" si="1"/>
        <v>60.6130349017437</v>
      </c>
      <c r="P14">
        <f t="shared" si="2"/>
        <v>110.777073440311</v>
      </c>
      <c r="Q14">
        <f t="shared" si="3"/>
        <v>158.221363917772</v>
      </c>
      <c r="R14">
        <f t="shared" si="4"/>
        <v>72.4499827467198</v>
      </c>
      <c r="S14">
        <f t="shared" si="5"/>
        <v>108.972473588517</v>
      </c>
      <c r="T14">
        <f t="shared" si="6"/>
        <v>139.039562715078</v>
      </c>
      <c r="U14" t="str">
        <f t="shared" si="7"/>
        <v>C1</v>
      </c>
    </row>
    <row r="15" spans="1:21">
      <c r="A15" t="s">
        <v>26</v>
      </c>
      <c r="B15">
        <v>10</v>
      </c>
      <c r="C15">
        <v>218</v>
      </c>
      <c r="D15">
        <v>79</v>
      </c>
      <c r="E15">
        <v>20</v>
      </c>
      <c r="O15">
        <f t="shared" si="1"/>
        <v>226.167946446883</v>
      </c>
      <c r="P15">
        <f t="shared" si="2"/>
        <v>58.8180244482931</v>
      </c>
      <c r="Q15">
        <f t="shared" si="3"/>
        <v>57.28874234961</v>
      </c>
      <c r="R15">
        <f t="shared" si="4"/>
        <v>98.4936546179499</v>
      </c>
      <c r="S15">
        <f t="shared" si="5"/>
        <v>63.7102817447859</v>
      </c>
      <c r="T15">
        <f t="shared" si="6"/>
        <v>32.86335345031</v>
      </c>
      <c r="U15" t="str">
        <f t="shared" si="7"/>
        <v>C6</v>
      </c>
    </row>
    <row r="16" spans="1:21">
      <c r="A16" t="s">
        <v>27</v>
      </c>
      <c r="B16">
        <v>7</v>
      </c>
      <c r="C16">
        <v>26</v>
      </c>
      <c r="D16">
        <v>65</v>
      </c>
      <c r="E16">
        <v>19</v>
      </c>
      <c r="O16">
        <f t="shared" si="1"/>
        <v>54.440242468233</v>
      </c>
      <c r="P16">
        <f t="shared" si="2"/>
        <v>134.896849481372</v>
      </c>
      <c r="Q16">
        <f t="shared" si="3"/>
        <v>188.944436276912</v>
      </c>
      <c r="R16">
        <f t="shared" si="4"/>
        <v>96.9381245950219</v>
      </c>
      <c r="S16">
        <f t="shared" si="5"/>
        <v>130.877805605076</v>
      </c>
      <c r="T16">
        <f t="shared" si="6"/>
        <v>164.493160952059</v>
      </c>
      <c r="U16" t="str">
        <f t="shared" si="7"/>
        <v>C1</v>
      </c>
    </row>
    <row r="17" spans="1:21">
      <c r="A17" t="s">
        <v>28</v>
      </c>
      <c r="B17">
        <v>2</v>
      </c>
      <c r="C17">
        <v>0.1</v>
      </c>
      <c r="D17">
        <v>53</v>
      </c>
      <c r="E17">
        <v>9</v>
      </c>
      <c r="O17">
        <f t="shared" si="1"/>
        <v>33.5507078911906</v>
      </c>
      <c r="P17">
        <f t="shared" si="2"/>
        <v>162.111597364285</v>
      </c>
      <c r="Q17">
        <f t="shared" si="3"/>
        <v>212.233385686607</v>
      </c>
      <c r="R17">
        <f t="shared" si="4"/>
        <v>124.15961501229</v>
      </c>
      <c r="S17">
        <f t="shared" si="5"/>
        <v>158.930834012787</v>
      </c>
      <c r="T17">
        <f t="shared" si="6"/>
        <v>191.736824840718</v>
      </c>
      <c r="U17" t="str">
        <f t="shared" si="7"/>
        <v>C1</v>
      </c>
    </row>
    <row r="18" spans="1:21">
      <c r="A18" t="s">
        <v>29</v>
      </c>
      <c r="B18">
        <v>3</v>
      </c>
      <c r="C18">
        <v>80</v>
      </c>
      <c r="D18">
        <v>56</v>
      </c>
      <c r="E18">
        <v>16</v>
      </c>
      <c r="O18">
        <f t="shared" si="1"/>
        <v>88.2504390923921</v>
      </c>
      <c r="P18">
        <f t="shared" si="2"/>
        <v>83.2583929703186</v>
      </c>
      <c r="Q18">
        <f t="shared" si="3"/>
        <v>134.454453254624</v>
      </c>
      <c r="R18">
        <f t="shared" si="4"/>
        <v>45.4202597967031</v>
      </c>
      <c r="S18">
        <f t="shared" si="5"/>
        <v>81.2342292386652</v>
      </c>
      <c r="T18">
        <f t="shared" si="6"/>
        <v>111.776562838549</v>
      </c>
      <c r="U18" t="str">
        <f t="shared" si="7"/>
        <v>C4</v>
      </c>
    </row>
    <row r="19" spans="1:21">
      <c r="A19" t="s">
        <v>30</v>
      </c>
      <c r="B19">
        <v>7</v>
      </c>
      <c r="C19">
        <v>70</v>
      </c>
      <c r="D19">
        <v>43</v>
      </c>
      <c r="E19">
        <v>15</v>
      </c>
      <c r="O19">
        <f t="shared" si="1"/>
        <v>74.4025537196137</v>
      </c>
      <c r="P19">
        <f t="shared" si="2"/>
        <v>97.083263233165</v>
      </c>
      <c r="Q19">
        <f t="shared" si="3"/>
        <v>141.534448103633</v>
      </c>
      <c r="R19">
        <f t="shared" si="4"/>
        <v>56.4358042380899</v>
      </c>
      <c r="S19">
        <f t="shared" si="5"/>
        <v>95.8175349296777</v>
      </c>
      <c r="T19">
        <f t="shared" si="6"/>
        <v>123.020323524205</v>
      </c>
      <c r="U19" t="str">
        <f t="shared" si="7"/>
        <v>C4</v>
      </c>
    </row>
    <row r="20" spans="1:21">
      <c r="A20" t="s">
        <v>31</v>
      </c>
      <c r="B20">
        <v>15</v>
      </c>
      <c r="C20">
        <v>159</v>
      </c>
      <c r="D20">
        <v>61</v>
      </c>
      <c r="E20">
        <v>19</v>
      </c>
      <c r="O20">
        <f t="shared" si="1"/>
        <v>165.066471459228</v>
      </c>
      <c r="P20">
        <f t="shared" si="2"/>
        <v>22.8157840101979</v>
      </c>
      <c r="Q20">
        <f t="shared" si="3"/>
        <v>64.2261628933257</v>
      </c>
      <c r="R20">
        <f t="shared" si="4"/>
        <v>37.9209704517171</v>
      </c>
      <c r="S20">
        <f t="shared" si="5"/>
        <v>28.1424945589406</v>
      </c>
      <c r="T20">
        <f t="shared" si="6"/>
        <v>32.542280190546</v>
      </c>
      <c r="U20" t="str">
        <f t="shared" si="7"/>
        <v>C2</v>
      </c>
    </row>
    <row r="21" spans="1:21">
      <c r="A21" t="s">
        <v>32</v>
      </c>
      <c r="B21">
        <v>1</v>
      </c>
      <c r="C21">
        <v>0.1</v>
      </c>
      <c r="D21">
        <v>45</v>
      </c>
      <c r="E21">
        <v>7</v>
      </c>
      <c r="O21">
        <f t="shared" si="1"/>
        <v>25.3229145242012</v>
      </c>
      <c r="P21">
        <f t="shared" si="2"/>
        <v>163.671530817061</v>
      </c>
      <c r="Q21">
        <f t="shared" si="3"/>
        <v>211.324418844581</v>
      </c>
      <c r="R21">
        <f t="shared" si="4"/>
        <v>125.222242433204</v>
      </c>
      <c r="S21">
        <f t="shared" si="5"/>
        <v>160.990714017921</v>
      </c>
      <c r="T21">
        <f t="shared" si="6"/>
        <v>192.686299461067</v>
      </c>
      <c r="U21" t="str">
        <f t="shared" si="7"/>
        <v>C1</v>
      </c>
    </row>
    <row r="22" spans="1:21">
      <c r="A22" t="s">
        <v>33</v>
      </c>
      <c r="B22">
        <v>10</v>
      </c>
      <c r="C22">
        <v>260</v>
      </c>
      <c r="D22">
        <v>63</v>
      </c>
      <c r="E22">
        <v>28</v>
      </c>
      <c r="O22">
        <f t="shared" si="1"/>
        <v>264.367055436187</v>
      </c>
      <c r="P22">
        <f t="shared" si="2"/>
        <v>102.447840387194</v>
      </c>
      <c r="Q22">
        <f t="shared" si="3"/>
        <v>66.2570750939098</v>
      </c>
      <c r="R22">
        <f t="shared" si="4"/>
        <v>138.19189556555</v>
      </c>
      <c r="S22">
        <f t="shared" si="5"/>
        <v>108.198890937015</v>
      </c>
      <c r="T22">
        <f t="shared" si="6"/>
        <v>70.2851335632223</v>
      </c>
      <c r="U22" t="str">
        <f t="shared" si="7"/>
        <v>C3</v>
      </c>
    </row>
    <row r="23" spans="1:21">
      <c r="A23" t="s">
        <v>34</v>
      </c>
      <c r="B23">
        <v>2</v>
      </c>
      <c r="C23">
        <v>138</v>
      </c>
      <c r="D23">
        <v>82</v>
      </c>
      <c r="E23">
        <v>13</v>
      </c>
      <c r="O23">
        <f t="shared" si="1"/>
        <v>151.164612260939</v>
      </c>
      <c r="P23">
        <f t="shared" si="2"/>
        <v>22.2970850112745</v>
      </c>
      <c r="Q23">
        <f t="shared" si="3"/>
        <v>93.5414346693485</v>
      </c>
      <c r="R23">
        <f t="shared" si="4"/>
        <v>34.3074335968169</v>
      </c>
      <c r="S23">
        <f t="shared" si="5"/>
        <v>18.9472953214964</v>
      </c>
      <c r="T23">
        <f t="shared" si="6"/>
        <v>58.4294446319662</v>
      </c>
      <c r="U23" t="str">
        <f t="shared" si="7"/>
        <v>C5</v>
      </c>
    </row>
    <row r="24" spans="1:21">
      <c r="A24" t="s">
        <v>35</v>
      </c>
      <c r="B24">
        <v>11</v>
      </c>
      <c r="C24">
        <v>251</v>
      </c>
      <c r="D24">
        <v>68</v>
      </c>
      <c r="E24">
        <v>35</v>
      </c>
      <c r="O24">
        <f t="shared" si="1"/>
        <v>257.239849168048</v>
      </c>
      <c r="P24">
        <f t="shared" si="2"/>
        <v>94.2887055802549</v>
      </c>
      <c r="Q24">
        <f t="shared" si="3"/>
        <v>65.4369925959315</v>
      </c>
      <c r="R24">
        <f t="shared" si="4"/>
        <v>129.657240445723</v>
      </c>
      <c r="S24">
        <f t="shared" si="5"/>
        <v>99.3428407083268</v>
      </c>
      <c r="T24">
        <f t="shared" si="6"/>
        <v>61.6765757804371</v>
      </c>
      <c r="U24" t="str">
        <f t="shared" si="7"/>
        <v>C6</v>
      </c>
    </row>
    <row r="25" spans="1:21">
      <c r="A25" t="s">
        <v>36</v>
      </c>
      <c r="B25">
        <v>1</v>
      </c>
      <c r="C25">
        <v>3</v>
      </c>
      <c r="D25">
        <v>62</v>
      </c>
      <c r="E25">
        <v>14</v>
      </c>
      <c r="O25">
        <f t="shared" si="1"/>
        <v>43.4895389720333</v>
      </c>
      <c r="P25">
        <f t="shared" si="2"/>
        <v>157.922006066286</v>
      </c>
      <c r="Q25">
        <f t="shared" si="3"/>
        <v>210.900450449969</v>
      </c>
      <c r="R25">
        <f t="shared" si="4"/>
        <v>120.681398732365</v>
      </c>
      <c r="S25">
        <f t="shared" si="5"/>
        <v>154.175224987674</v>
      </c>
      <c r="T25">
        <f t="shared" si="6"/>
        <v>188.146219733483</v>
      </c>
      <c r="U25" t="str">
        <f t="shared" si="7"/>
        <v>C1</v>
      </c>
    </row>
    <row r="26" spans="1:21">
      <c r="A26" t="s">
        <v>37</v>
      </c>
      <c r="B26">
        <v>13</v>
      </c>
      <c r="C26">
        <v>209</v>
      </c>
      <c r="D26">
        <v>44</v>
      </c>
      <c r="E26">
        <v>13</v>
      </c>
      <c r="O26">
        <f t="shared" si="1"/>
        <v>210.440347842328</v>
      </c>
      <c r="P26">
        <f t="shared" si="2"/>
        <v>61.3185127021196</v>
      </c>
      <c r="Q26">
        <f t="shared" si="3"/>
        <v>21.2132034355964</v>
      </c>
      <c r="R26">
        <f t="shared" si="4"/>
        <v>89.4371287553441</v>
      </c>
      <c r="S26">
        <f t="shared" si="5"/>
        <v>69.7495519698872</v>
      </c>
      <c r="T26">
        <f t="shared" si="6"/>
        <v>32.1869538788622</v>
      </c>
      <c r="U26" t="str">
        <f t="shared" si="7"/>
        <v>C3</v>
      </c>
    </row>
    <row r="27" spans="1:21">
      <c r="A27" t="s">
        <v>38</v>
      </c>
      <c r="B27">
        <v>8</v>
      </c>
      <c r="C27">
        <v>80</v>
      </c>
      <c r="D27">
        <v>61</v>
      </c>
      <c r="E27">
        <v>28</v>
      </c>
      <c r="O27">
        <f t="shared" si="1"/>
        <v>93.1189561797167</v>
      </c>
      <c r="P27">
        <f t="shared" si="2"/>
        <v>83.270402905234</v>
      </c>
      <c r="Q27">
        <f t="shared" si="3"/>
        <v>136.535709614738</v>
      </c>
      <c r="R27">
        <f t="shared" si="4"/>
        <v>42.8135492572153</v>
      </c>
      <c r="S27">
        <f t="shared" si="5"/>
        <v>79.9437302106926</v>
      </c>
      <c r="T27">
        <f t="shared" si="6"/>
        <v>110.363037290571</v>
      </c>
      <c r="U27" t="str">
        <f t="shared" si="7"/>
        <v>C4</v>
      </c>
    </row>
    <row r="28" spans="1:21">
      <c r="A28" t="s">
        <v>39</v>
      </c>
      <c r="B28">
        <v>5</v>
      </c>
      <c r="C28">
        <v>19</v>
      </c>
      <c r="D28">
        <v>45</v>
      </c>
      <c r="E28">
        <v>15</v>
      </c>
      <c r="O28">
        <f t="shared" si="1"/>
        <v>33.5401252233798</v>
      </c>
      <c r="P28">
        <f t="shared" si="2"/>
        <v>145.081218632875</v>
      </c>
      <c r="Q28">
        <f t="shared" si="3"/>
        <v>192.398024937888</v>
      </c>
      <c r="R28">
        <f t="shared" si="4"/>
        <v>105.214067500501</v>
      </c>
      <c r="S28">
        <f t="shared" si="5"/>
        <v>142.39382009062</v>
      </c>
      <c r="T28">
        <f t="shared" si="6"/>
        <v>173.005780250256</v>
      </c>
      <c r="U28" t="str">
        <f t="shared" si="7"/>
        <v>C1</v>
      </c>
    </row>
    <row r="29" spans="1:21">
      <c r="A29" t="s">
        <v>40</v>
      </c>
      <c r="B29">
        <v>4</v>
      </c>
      <c r="C29">
        <v>10</v>
      </c>
      <c r="D29">
        <v>56</v>
      </c>
      <c r="E29">
        <v>13</v>
      </c>
      <c r="O29">
        <f t="shared" si="1"/>
        <v>38.6463452347049</v>
      </c>
      <c r="P29">
        <f t="shared" si="2"/>
        <v>151.785243024478</v>
      </c>
      <c r="Q29">
        <f t="shared" si="3"/>
        <v>202.834908238202</v>
      </c>
      <c r="R29">
        <f t="shared" si="4"/>
        <v>113.547346952714</v>
      </c>
      <c r="S29">
        <f t="shared" si="5"/>
        <v>148.40148247238</v>
      </c>
      <c r="T29">
        <f t="shared" si="6"/>
        <v>181.245689603919</v>
      </c>
      <c r="U29" t="str">
        <f t="shared" si="7"/>
        <v>C1</v>
      </c>
    </row>
    <row r="30" spans="1:21">
      <c r="A30" t="s">
        <v>41</v>
      </c>
      <c r="B30">
        <v>11</v>
      </c>
      <c r="C30">
        <v>239</v>
      </c>
      <c r="D30">
        <v>75</v>
      </c>
      <c r="E30">
        <v>43</v>
      </c>
      <c r="O30">
        <f t="shared" si="1"/>
        <v>248.196172412066</v>
      </c>
      <c r="P30">
        <f t="shared" si="2"/>
        <v>84.4355375419616</v>
      </c>
      <c r="Q30">
        <f t="shared" si="3"/>
        <v>67.5943784644847</v>
      </c>
      <c r="R30">
        <f t="shared" si="4"/>
        <v>119.272796563173</v>
      </c>
      <c r="S30">
        <f t="shared" si="5"/>
        <v>88.3855191759374</v>
      </c>
      <c r="T30">
        <f t="shared" si="6"/>
        <v>52.4499761677734</v>
      </c>
      <c r="U30" t="str">
        <f t="shared" si="7"/>
        <v>C6</v>
      </c>
    </row>
    <row r="31" spans="1:21">
      <c r="A31" t="s">
        <v>42</v>
      </c>
      <c r="B31">
        <v>0</v>
      </c>
      <c r="C31">
        <v>0.1</v>
      </c>
      <c r="D31">
        <v>53</v>
      </c>
      <c r="E31">
        <v>6</v>
      </c>
      <c r="O31">
        <f t="shared" si="1"/>
        <v>33.1639864913734</v>
      </c>
      <c r="P31">
        <f t="shared" si="2"/>
        <v>162.257727088728</v>
      </c>
      <c r="Q31">
        <f t="shared" si="3"/>
        <v>212.377046782368</v>
      </c>
      <c r="R31">
        <f t="shared" si="4"/>
        <v>124.870372787143</v>
      </c>
      <c r="S31">
        <f t="shared" si="5"/>
        <v>159.198021344488</v>
      </c>
      <c r="T31">
        <f t="shared" si="6"/>
        <v>192.213449061193</v>
      </c>
      <c r="U31" t="str">
        <f t="shared" si="7"/>
        <v>C1</v>
      </c>
    </row>
    <row r="32" spans="1:21">
      <c r="A32" t="s">
        <v>43</v>
      </c>
      <c r="B32">
        <v>5</v>
      </c>
      <c r="C32">
        <v>155</v>
      </c>
      <c r="D32">
        <v>87</v>
      </c>
      <c r="E32">
        <v>19</v>
      </c>
      <c r="O32">
        <f t="shared" si="1"/>
        <v>169.2008865225</v>
      </c>
      <c r="P32">
        <f t="shared" si="2"/>
        <v>10.7962956610126</v>
      </c>
      <c r="Q32">
        <f t="shared" si="3"/>
        <v>84.9764673306675</v>
      </c>
      <c r="R32">
        <f t="shared" si="4"/>
        <v>45.365184888855</v>
      </c>
      <c r="S32">
        <f t="shared" si="5"/>
        <v>0</v>
      </c>
      <c r="T32">
        <f t="shared" si="6"/>
        <v>43.7149859887888</v>
      </c>
      <c r="U32" t="str">
        <f t="shared" si="7"/>
        <v>C5</v>
      </c>
    </row>
    <row r="33" spans="1:21">
      <c r="A33" t="s">
        <v>44</v>
      </c>
      <c r="B33">
        <v>12</v>
      </c>
      <c r="C33">
        <v>229</v>
      </c>
      <c r="D33">
        <v>64</v>
      </c>
      <c r="E33">
        <v>32</v>
      </c>
      <c r="O33">
        <f t="shared" si="1"/>
        <v>234.741858218768</v>
      </c>
      <c r="P33">
        <f t="shared" si="2"/>
        <v>73.3700211257977</v>
      </c>
      <c r="Q33">
        <f t="shared" si="3"/>
        <v>49.8397431775084</v>
      </c>
      <c r="R33">
        <f t="shared" si="4"/>
        <v>107.307968017291</v>
      </c>
      <c r="S33">
        <f t="shared" si="5"/>
        <v>78.8859936870925</v>
      </c>
      <c r="T33">
        <f t="shared" si="6"/>
        <v>39.4208066888541</v>
      </c>
      <c r="U33" t="str">
        <f t="shared" si="7"/>
        <v>C6</v>
      </c>
    </row>
    <row r="34" spans="1:21">
      <c r="A34" t="s">
        <v>45</v>
      </c>
      <c r="B34">
        <v>9</v>
      </c>
      <c r="C34">
        <v>161</v>
      </c>
      <c r="D34">
        <v>85</v>
      </c>
      <c r="E34">
        <v>23</v>
      </c>
      <c r="O34">
        <f t="shared" si="1"/>
        <v>174.483638201408</v>
      </c>
      <c r="P34">
        <f t="shared" si="2"/>
        <v>12.4803846094582</v>
      </c>
      <c r="Q34">
        <f t="shared" si="3"/>
        <v>79.9562380305627</v>
      </c>
      <c r="R34">
        <f t="shared" si="4"/>
        <v>47.5604878023765</v>
      </c>
      <c r="S34">
        <f t="shared" si="5"/>
        <v>8.48528137423857</v>
      </c>
      <c r="T34">
        <f t="shared" si="6"/>
        <v>36.2629287289375</v>
      </c>
      <c r="U34" t="str">
        <f t="shared" si="7"/>
        <v>C5</v>
      </c>
    </row>
    <row r="35" spans="1:21">
      <c r="A35" t="s">
        <v>46</v>
      </c>
      <c r="B35">
        <v>13</v>
      </c>
      <c r="C35">
        <v>321</v>
      </c>
      <c r="D35">
        <v>45</v>
      </c>
      <c r="E35">
        <v>13</v>
      </c>
      <c r="O35">
        <f t="shared" si="1"/>
        <v>321.841793432736</v>
      </c>
      <c r="P35">
        <f t="shared" si="2"/>
        <v>164.957449058841</v>
      </c>
      <c r="Q35">
        <f t="shared" si="3"/>
        <v>113.194522835692</v>
      </c>
      <c r="R35">
        <f t="shared" si="4"/>
        <v>200.004999937502</v>
      </c>
      <c r="S35">
        <f t="shared" si="5"/>
        <v>171.522593263978</v>
      </c>
      <c r="T35">
        <f t="shared" si="6"/>
        <v>133.397901032962</v>
      </c>
      <c r="U35" t="str">
        <f t="shared" si="7"/>
        <v>C3</v>
      </c>
    </row>
    <row r="36" spans="1:21">
      <c r="A36" t="s">
        <v>47</v>
      </c>
      <c r="B36">
        <v>0.1</v>
      </c>
      <c r="C36">
        <v>27</v>
      </c>
      <c r="D36">
        <v>44</v>
      </c>
      <c r="E36">
        <v>6</v>
      </c>
      <c r="O36">
        <f t="shared" si="1"/>
        <v>35.8983286519024</v>
      </c>
      <c r="P36">
        <f t="shared" si="2"/>
        <v>137.830511861489</v>
      </c>
      <c r="Q36">
        <f t="shared" si="3"/>
        <v>184.590926104183</v>
      </c>
      <c r="R36">
        <f t="shared" si="4"/>
        <v>99.7186542227682</v>
      </c>
      <c r="S36">
        <f t="shared" si="5"/>
        <v>135.742439936816</v>
      </c>
      <c r="T36">
        <f t="shared" si="6"/>
        <v>166.573737425802</v>
      </c>
      <c r="U36" t="str">
        <f t="shared" si="7"/>
        <v>C1</v>
      </c>
    </row>
    <row r="37" spans="1:21">
      <c r="A37" t="s">
        <v>48</v>
      </c>
      <c r="B37">
        <v>8</v>
      </c>
      <c r="C37">
        <v>119</v>
      </c>
      <c r="D37">
        <v>73</v>
      </c>
      <c r="E37">
        <v>18</v>
      </c>
      <c r="O37">
        <f t="shared" si="1"/>
        <v>130.847774149964</v>
      </c>
      <c r="P37">
        <f t="shared" si="2"/>
        <v>42.0352233252067</v>
      </c>
      <c r="Q37">
        <f t="shared" si="3"/>
        <v>104.110518200612</v>
      </c>
      <c r="R37">
        <f t="shared" si="4"/>
        <v>18.7082869338697</v>
      </c>
      <c r="S37">
        <f t="shared" si="5"/>
        <v>38.7556447501522</v>
      </c>
      <c r="T37">
        <f t="shared" si="6"/>
        <v>72.587877775838</v>
      </c>
      <c r="U37" t="str">
        <f t="shared" si="7"/>
        <v>C4</v>
      </c>
    </row>
    <row r="38" spans="1:21">
      <c r="A38" t="s">
        <v>49</v>
      </c>
      <c r="B38">
        <v>4</v>
      </c>
      <c r="C38">
        <v>116</v>
      </c>
      <c r="D38">
        <v>59</v>
      </c>
      <c r="E38">
        <v>20</v>
      </c>
      <c r="O38">
        <f t="shared" si="1"/>
        <v>123.115961597187</v>
      </c>
      <c r="P38">
        <f t="shared" si="2"/>
        <v>48.6493576524912</v>
      </c>
      <c r="Q38">
        <f t="shared" si="3"/>
        <v>101.301530097033</v>
      </c>
      <c r="R38">
        <f t="shared" si="4"/>
        <v>15.1327459504216</v>
      </c>
      <c r="S38">
        <f t="shared" si="5"/>
        <v>48.0312398340913</v>
      </c>
      <c r="T38">
        <f t="shared" si="6"/>
        <v>75.6306816047561</v>
      </c>
      <c r="U38" t="str">
        <f t="shared" si="7"/>
        <v>C4</v>
      </c>
    </row>
    <row r="39" spans="1:21">
      <c r="A39" t="s">
        <v>50</v>
      </c>
      <c r="B39">
        <v>4</v>
      </c>
      <c r="C39">
        <v>103</v>
      </c>
      <c r="D39">
        <v>58</v>
      </c>
      <c r="E39">
        <v>29</v>
      </c>
      <c r="O39">
        <f t="shared" si="1"/>
        <v>112.399021348053</v>
      </c>
      <c r="P39">
        <f t="shared" si="2"/>
        <v>62.3839723005837</v>
      </c>
      <c r="Q39">
        <f t="shared" si="3"/>
        <v>114.223465189951</v>
      </c>
      <c r="R39">
        <f t="shared" si="4"/>
        <v>22.5831795812724</v>
      </c>
      <c r="S39">
        <f t="shared" si="5"/>
        <v>60.3821165578021</v>
      </c>
      <c r="T39">
        <f t="shared" si="6"/>
        <v>88.1078884096084</v>
      </c>
      <c r="U39" t="str">
        <f t="shared" si="7"/>
        <v>C4</v>
      </c>
    </row>
    <row r="40" spans="1:21">
      <c r="A40" t="s">
        <v>51</v>
      </c>
      <c r="B40">
        <v>4</v>
      </c>
      <c r="C40">
        <v>57</v>
      </c>
      <c r="D40">
        <v>67</v>
      </c>
      <c r="E40">
        <v>13</v>
      </c>
      <c r="O40">
        <f t="shared" si="1"/>
        <v>74.2195392063303</v>
      </c>
      <c r="P40">
        <f t="shared" si="2"/>
        <v>103.743722701665</v>
      </c>
      <c r="Q40">
        <f t="shared" si="3"/>
        <v>159.367499823521</v>
      </c>
      <c r="R40">
        <f t="shared" si="4"/>
        <v>68.0367547726962</v>
      </c>
      <c r="S40">
        <f t="shared" si="5"/>
        <v>100.204790304656</v>
      </c>
      <c r="T40">
        <f t="shared" si="6"/>
        <v>134.394940380953</v>
      </c>
      <c r="U40" t="str">
        <f t="shared" si="7"/>
        <v>C4</v>
      </c>
    </row>
    <row r="41" spans="1:21">
      <c r="A41" t="s">
        <v>52</v>
      </c>
      <c r="B41">
        <v>2</v>
      </c>
      <c r="C41">
        <v>97</v>
      </c>
      <c r="D41">
        <v>83</v>
      </c>
      <c r="E41">
        <v>5</v>
      </c>
      <c r="O41">
        <f t="shared" si="1"/>
        <v>115.263784425118</v>
      </c>
      <c r="P41">
        <f t="shared" si="2"/>
        <v>63.9152563946981</v>
      </c>
      <c r="Q41">
        <f t="shared" si="3"/>
        <v>128.397819296124</v>
      </c>
      <c r="R41">
        <f t="shared" si="4"/>
        <v>43.3704968844029</v>
      </c>
      <c r="S41">
        <f t="shared" si="5"/>
        <v>59.8748695196908</v>
      </c>
      <c r="T41">
        <f t="shared" si="6"/>
        <v>98.4784240328814</v>
      </c>
      <c r="U41" t="str">
        <f t="shared" si="7"/>
        <v>C4</v>
      </c>
    </row>
    <row r="42" spans="1:21">
      <c r="A42" t="s">
        <v>53</v>
      </c>
      <c r="B42">
        <v>13</v>
      </c>
      <c r="C42">
        <v>210</v>
      </c>
      <c r="D42">
        <v>46</v>
      </c>
      <c r="E42">
        <v>21</v>
      </c>
      <c r="O42">
        <f t="shared" si="1"/>
        <v>212.19599430715</v>
      </c>
      <c r="P42">
        <f t="shared" si="2"/>
        <v>61.2777284174275</v>
      </c>
      <c r="Q42">
        <f t="shared" si="3"/>
        <v>25.1594912508182</v>
      </c>
      <c r="R42">
        <f t="shared" si="4"/>
        <v>89.2076229926569</v>
      </c>
      <c r="S42">
        <f t="shared" si="5"/>
        <v>69.0941386804988</v>
      </c>
      <c r="T42">
        <f t="shared" si="6"/>
        <v>28.6181760425084</v>
      </c>
      <c r="U42" t="str">
        <f t="shared" si="7"/>
        <v>C3</v>
      </c>
    </row>
    <row r="43" spans="1:21">
      <c r="A43" t="s">
        <v>54</v>
      </c>
      <c r="B43">
        <v>3</v>
      </c>
      <c r="C43">
        <v>1</v>
      </c>
      <c r="D43">
        <v>43</v>
      </c>
      <c r="E43">
        <v>12</v>
      </c>
      <c r="O43">
        <f t="shared" si="1"/>
        <v>24.7616639182427</v>
      </c>
      <c r="P43">
        <f t="shared" si="2"/>
        <v>163.058149137049</v>
      </c>
      <c r="Q43">
        <f t="shared" si="3"/>
        <v>210.109495263779</v>
      </c>
      <c r="R43">
        <f t="shared" si="4"/>
        <v>123.65678307315</v>
      </c>
      <c r="S43">
        <f t="shared" si="5"/>
        <v>160.327789231936</v>
      </c>
      <c r="T43">
        <f t="shared" si="6"/>
        <v>191.389654892839</v>
      </c>
      <c r="U43" t="str">
        <f t="shared" si="7"/>
        <v>C1</v>
      </c>
    </row>
    <row r="44" spans="1:21">
      <c r="A44" t="s">
        <v>55</v>
      </c>
      <c r="B44">
        <v>14</v>
      </c>
      <c r="C44">
        <v>96</v>
      </c>
      <c r="D44">
        <v>58</v>
      </c>
      <c r="E44">
        <v>27</v>
      </c>
      <c r="O44">
        <f t="shared" si="1"/>
        <v>106.308701431256</v>
      </c>
      <c r="P44">
        <f t="shared" si="2"/>
        <v>69.532438472989</v>
      </c>
      <c r="Q44">
        <f t="shared" si="3"/>
        <v>120.357799913425</v>
      </c>
      <c r="R44">
        <f t="shared" si="4"/>
        <v>26.0959767013998</v>
      </c>
      <c r="S44">
        <f t="shared" si="5"/>
        <v>66.8356192460278</v>
      </c>
      <c r="T44">
        <f t="shared" si="6"/>
        <v>94.2867965305853</v>
      </c>
      <c r="U44" t="str">
        <f t="shared" si="7"/>
        <v>C4</v>
      </c>
    </row>
    <row r="45" spans="1:21">
      <c r="A45" t="s">
        <v>56</v>
      </c>
      <c r="B45">
        <v>13</v>
      </c>
      <c r="C45">
        <v>137</v>
      </c>
      <c r="D45">
        <v>79</v>
      </c>
      <c r="E45">
        <v>25</v>
      </c>
      <c r="O45">
        <f t="shared" si="1"/>
        <v>150.778446735599</v>
      </c>
      <c r="P45">
        <f t="shared" si="2"/>
        <v>27.5492286643383</v>
      </c>
      <c r="Q45">
        <f t="shared" si="3"/>
        <v>93.0859817588019</v>
      </c>
      <c r="R45">
        <f t="shared" si="4"/>
        <v>25.2586618806302</v>
      </c>
      <c r="S45">
        <f t="shared" si="5"/>
        <v>22.0907220343745</v>
      </c>
      <c r="T45">
        <f t="shared" si="6"/>
        <v>54.9818151755651</v>
      </c>
      <c r="U45" t="str">
        <f t="shared" si="7"/>
        <v>C5</v>
      </c>
    </row>
    <row r="46" spans="1:21">
      <c r="A46" t="s">
        <v>57</v>
      </c>
      <c r="B46">
        <v>0</v>
      </c>
      <c r="C46">
        <v>49</v>
      </c>
      <c r="D46">
        <v>74</v>
      </c>
      <c r="E46">
        <v>21</v>
      </c>
      <c r="O46">
        <f t="shared" si="1"/>
        <v>74.792646697386</v>
      </c>
      <c r="P46">
        <f t="shared" si="2"/>
        <v>111.285938015546</v>
      </c>
      <c r="Q46">
        <f t="shared" si="3"/>
        <v>169.537606447655</v>
      </c>
      <c r="R46">
        <f t="shared" si="4"/>
        <v>76.4591394144611</v>
      </c>
      <c r="S46">
        <f t="shared" si="5"/>
        <v>106.929883568626</v>
      </c>
      <c r="T46">
        <f t="shared" si="6"/>
        <v>142.362214087868</v>
      </c>
      <c r="U46" t="str">
        <f t="shared" si="7"/>
        <v>C1</v>
      </c>
    </row>
    <row r="47" spans="1:21">
      <c r="A47" t="s">
        <v>58</v>
      </c>
      <c r="B47">
        <v>0.1</v>
      </c>
      <c r="C47">
        <v>44</v>
      </c>
      <c r="D47">
        <v>24</v>
      </c>
      <c r="E47">
        <v>8</v>
      </c>
      <c r="O47">
        <f t="shared" si="1"/>
        <v>43.985111117286</v>
      </c>
      <c r="P47">
        <f t="shared" si="2"/>
        <v>128.577797461304</v>
      </c>
      <c r="Q47">
        <f t="shared" si="3"/>
        <v>166.387529580795</v>
      </c>
      <c r="R47">
        <f t="shared" si="4"/>
        <v>89.0101679584979</v>
      </c>
      <c r="S47">
        <f t="shared" si="5"/>
        <v>128.19910296098</v>
      </c>
      <c r="T47">
        <f t="shared" si="6"/>
        <v>153.784947247772</v>
      </c>
      <c r="U47" t="str">
        <f t="shared" si="7"/>
        <v>C1</v>
      </c>
    </row>
    <row r="48" spans="1:21">
      <c r="A48" t="s">
        <v>59</v>
      </c>
      <c r="B48">
        <v>7</v>
      </c>
      <c r="C48">
        <v>100</v>
      </c>
      <c r="D48">
        <v>58</v>
      </c>
      <c r="E48">
        <v>16</v>
      </c>
      <c r="O48">
        <f t="shared" si="1"/>
        <v>107.45110515951</v>
      </c>
      <c r="P48">
        <f t="shared" si="2"/>
        <v>63.8056423837265</v>
      </c>
      <c r="Q48">
        <f t="shared" si="3"/>
        <v>115.611418121222</v>
      </c>
      <c r="R48">
        <f t="shared" si="4"/>
        <v>26.2106848441623</v>
      </c>
      <c r="S48">
        <f t="shared" si="5"/>
        <v>62.2816184760801</v>
      </c>
      <c r="T48">
        <f t="shared" si="6"/>
        <v>91.5095623418668</v>
      </c>
      <c r="U48" t="str">
        <f t="shared" si="7"/>
        <v>C4</v>
      </c>
    </row>
    <row r="49" spans="1:21">
      <c r="A49" t="s">
        <v>60</v>
      </c>
      <c r="B49">
        <v>1</v>
      </c>
      <c r="C49">
        <v>62</v>
      </c>
      <c r="D49">
        <v>73</v>
      </c>
      <c r="E49">
        <v>24</v>
      </c>
      <c r="O49">
        <f t="shared" si="1"/>
        <v>83.8590484086243</v>
      </c>
      <c r="P49">
        <f t="shared" si="2"/>
        <v>98.5969573567055</v>
      </c>
      <c r="Q49">
        <f t="shared" si="3"/>
        <v>157.076414524906</v>
      </c>
      <c r="R49">
        <f t="shared" si="4"/>
        <v>63.4822809924155</v>
      </c>
      <c r="S49">
        <f t="shared" si="5"/>
        <v>94.2655822662757</v>
      </c>
      <c r="T49">
        <f t="shared" si="6"/>
        <v>129.185912544673</v>
      </c>
      <c r="U49" t="str">
        <f t="shared" si="7"/>
        <v>C4</v>
      </c>
    </row>
    <row r="50" spans="1:21">
      <c r="A50" t="s">
        <v>61</v>
      </c>
      <c r="B50">
        <v>5</v>
      </c>
      <c r="C50">
        <v>65</v>
      </c>
      <c r="D50">
        <v>34</v>
      </c>
      <c r="E50">
        <v>9</v>
      </c>
      <c r="O50">
        <f t="shared" si="1"/>
        <v>66.3772551405977</v>
      </c>
      <c r="P50">
        <f t="shared" si="2"/>
        <v>105.344957164546</v>
      </c>
      <c r="Q50">
        <f t="shared" si="3"/>
        <v>145.554113648498</v>
      </c>
      <c r="R50">
        <f t="shared" si="4"/>
        <v>65.719099202591</v>
      </c>
      <c r="S50">
        <f t="shared" si="5"/>
        <v>104.92378186093</v>
      </c>
      <c r="T50">
        <f t="shared" si="6"/>
        <v>130.644555952401</v>
      </c>
      <c r="U50" t="str">
        <f t="shared" si="7"/>
        <v>C4</v>
      </c>
    </row>
    <row r="51" spans="1:21">
      <c r="A51" t="s">
        <v>62</v>
      </c>
      <c r="B51">
        <v>0</v>
      </c>
      <c r="C51">
        <v>0.1</v>
      </c>
      <c r="D51">
        <v>60</v>
      </c>
      <c r="E51">
        <v>11</v>
      </c>
      <c r="O51">
        <f t="shared" si="1"/>
        <v>40.8148257377145</v>
      </c>
      <c r="P51">
        <f t="shared" si="2"/>
        <v>161.082494393401</v>
      </c>
      <c r="Q51">
        <f t="shared" si="3"/>
        <v>213.419797582136</v>
      </c>
      <c r="R51">
        <f t="shared" si="4"/>
        <v>123.986329891646</v>
      </c>
      <c r="S51">
        <f t="shared" si="5"/>
        <v>157.518284652925</v>
      </c>
      <c r="T51">
        <f t="shared" si="6"/>
        <v>191.394905888323</v>
      </c>
      <c r="U51" t="str">
        <f t="shared" si="7"/>
        <v>C1</v>
      </c>
    </row>
    <row r="52" spans="1:21">
      <c r="A52" t="s">
        <v>63</v>
      </c>
      <c r="B52">
        <v>6</v>
      </c>
      <c r="C52">
        <v>143</v>
      </c>
      <c r="D52">
        <v>51</v>
      </c>
      <c r="E52">
        <v>11</v>
      </c>
      <c r="O52">
        <f t="shared" si="1"/>
        <v>146.127820759772</v>
      </c>
      <c r="P52">
        <f t="shared" si="2"/>
        <v>33.2920410909274</v>
      </c>
      <c r="Q52">
        <f t="shared" si="3"/>
        <v>72.7873615403114</v>
      </c>
      <c r="R52">
        <f t="shared" si="4"/>
        <v>29.3428015022424</v>
      </c>
      <c r="S52">
        <f t="shared" si="5"/>
        <v>38.7943294825416</v>
      </c>
      <c r="T52">
        <f t="shared" si="6"/>
        <v>52.85830114561</v>
      </c>
      <c r="U52" t="str">
        <f t="shared" si="7"/>
        <v>C4</v>
      </c>
    </row>
  </sheetData>
  <mergeCells count="2">
    <mergeCell ref="G1:K1"/>
    <mergeCell ref="O1:R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topLeftCell="A25" workbookViewId="0">
      <selection activeCell="L35" sqref="L35"/>
    </sheetView>
  </sheetViews>
  <sheetFormatPr defaultColWidth="9" defaultRowHeight="15"/>
  <cols>
    <col min="23" max="23" width="10.5714285714286" customWidth="1"/>
  </cols>
  <sheetData>
    <row r="1" spans="6:22">
      <c r="F1">
        <f ca="1">_xlfn.SHEET(A1)-1</f>
        <v>1</v>
      </c>
      <c r="G1" s="7" t="s">
        <v>0</v>
      </c>
      <c r="H1" s="7"/>
      <c r="I1" s="7"/>
      <c r="J1" s="7"/>
      <c r="K1" s="7"/>
      <c r="L1" s="7"/>
      <c r="M1" s="7"/>
      <c r="O1" s="7" t="s">
        <v>1</v>
      </c>
      <c r="P1" s="7"/>
      <c r="Q1" s="7"/>
      <c r="R1" s="7"/>
      <c r="V1">
        <v>1</v>
      </c>
    </row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7</v>
      </c>
      <c r="V2">
        <v>2</v>
      </c>
      <c r="W2" t="s">
        <v>64</v>
      </c>
      <c r="X2" t="s">
        <v>65</v>
      </c>
    </row>
    <row r="3" spans="1:24">
      <c r="A3" t="s">
        <v>14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M3" si="0">IFERROR(AVERAGEIFS(INDIRECT($F$1&amp;"!"&amp;ADDRESS(3,$F3,1)):INDIRECT($F$1&amp;"!"&amp;ADDRESS(52,$F3,1)),INDIRECT($F$1&amp;"!$U$3"):INDIRECT($F$1&amp;"!$U$52"),H$2),0)</f>
        <v>1.88</v>
      </c>
      <c r="I3">
        <f ca="1" t="shared" si="0"/>
        <v>10</v>
      </c>
      <c r="J3">
        <f ca="1" t="shared" si="0"/>
        <v>11.6</v>
      </c>
      <c r="K3">
        <f ca="1" t="shared" si="0"/>
        <v>6.28571428571429</v>
      </c>
      <c r="L3">
        <f ca="1" t="shared" si="0"/>
        <v>7.25</v>
      </c>
      <c r="M3">
        <f ca="1" t="shared" si="0"/>
        <v>9.4</v>
      </c>
      <c r="O3">
        <f ca="1">SQRT(SUMXMY2($B3:$E3,H$3:H$6))</f>
        <v>173.564018288482</v>
      </c>
      <c r="P3">
        <f ca="1" t="shared" ref="P3:T18" si="1">SQRT(SUMXMY2($B3:$E3,I$3:I$6))</f>
        <v>34.7491007077881</v>
      </c>
      <c r="Q3">
        <f ca="1" t="shared" si="1"/>
        <v>51.5833306408185</v>
      </c>
      <c r="R3">
        <f ca="1" t="shared" si="1"/>
        <v>98.9575511963363</v>
      </c>
      <c r="S3">
        <f ca="1" t="shared" si="1"/>
        <v>55.7780198644592</v>
      </c>
      <c r="T3">
        <f ca="1" t="shared" si="1"/>
        <v>35.3448723296605</v>
      </c>
      <c r="U3" t="str">
        <f ca="1">INDEX($O$2:$T$2,1,MATCH(MIN(O3:T3),O3:T3,0))</f>
        <v>C2</v>
      </c>
      <c r="V3">
        <v>3</v>
      </c>
      <c r="W3" t="str">
        <f ca="1">INDIRECT($F$1&amp;"!U"&amp;V3)</f>
        <v>C6</v>
      </c>
      <c r="X3">
        <f ca="1">IF(U3=W3,0,1)</f>
        <v>1</v>
      </c>
    </row>
    <row r="4" spans="1:24">
      <c r="A4" t="s">
        <v>15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M4" si="2">IFERROR(AVERAGEIFS(INDIRECT($F$1&amp;"!"&amp;ADDRESS(3,$F4,1)):INDIRECT($F$1&amp;"!"&amp;ADDRESS(52,$F4,1)),INDIRECT($F$1&amp;"!$U$3"):INDIRECT($F$1&amp;"!$U$52"),H$2),0)</f>
        <v>20.0266666666667</v>
      </c>
      <c r="I4">
        <f ca="1" t="shared" si="2"/>
        <v>164.5</v>
      </c>
      <c r="J4">
        <f ca="1" t="shared" si="2"/>
        <v>244.4</v>
      </c>
      <c r="K4">
        <f ca="1" t="shared" si="2"/>
        <v>94.5714285714286</v>
      </c>
      <c r="L4">
        <f ca="1" t="shared" si="2"/>
        <v>147.75</v>
      </c>
      <c r="M4">
        <f ca="1" t="shared" si="2"/>
        <v>222.5</v>
      </c>
      <c r="O4">
        <f ca="1" t="shared" ref="O4:T52" si="3">SQRT(SUMXMY2($B4:$E4,H$3:H$6))</f>
        <v>204.983906143331</v>
      </c>
      <c r="P4">
        <f ca="1" t="shared" si="1"/>
        <v>66.5845327384671</v>
      </c>
      <c r="Q4">
        <f ca="1" t="shared" si="1"/>
        <v>30.4144702403313</v>
      </c>
      <c r="R4">
        <f ca="1" t="shared" si="1"/>
        <v>131.191342577729</v>
      </c>
      <c r="S4">
        <f ca="1" t="shared" si="1"/>
        <v>89.2086739056242</v>
      </c>
      <c r="T4">
        <f ca="1" t="shared" si="1"/>
        <v>32.9372129968521</v>
      </c>
      <c r="U4" t="str">
        <f ca="1" t="shared" ref="U4:U52" si="4">INDEX($O$2:$T$2,1,MATCH(MIN(O4:T4),O4:T4,0))</f>
        <v>C3</v>
      </c>
      <c r="V4">
        <v>4</v>
      </c>
      <c r="W4" t="str">
        <f ca="1" t="shared" ref="W4:W52" si="5">INDIRECT($F$1&amp;"!U"&amp;V4)</f>
        <v>C3</v>
      </c>
      <c r="X4">
        <f ca="1" t="shared" ref="X4:X52" si="6">IF(U4=W4,0,1)</f>
        <v>0</v>
      </c>
    </row>
    <row r="5" spans="1:24">
      <c r="A5" t="s">
        <v>16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M5" si="7">IFERROR(AVERAGEIFS(INDIRECT($F$1&amp;"!"&amp;ADDRESS(3,$F5,1)):INDIRECT($F$1&amp;"!"&amp;ADDRESS(52,$F5,1)),INDIRECT($F$1&amp;"!$U$3"):INDIRECT($F$1&amp;"!$U$52"),H$2),0)</f>
        <v>55.2</v>
      </c>
      <c r="I5">
        <f ca="1" t="shared" si="7"/>
        <v>69.5</v>
      </c>
      <c r="J5">
        <f ca="1" t="shared" si="7"/>
        <v>47.4</v>
      </c>
      <c r="K5">
        <f ca="1" t="shared" si="7"/>
        <v>59</v>
      </c>
      <c r="L5">
        <f ca="1" t="shared" si="7"/>
        <v>83.25</v>
      </c>
      <c r="M5">
        <f ca="1" t="shared" si="7"/>
        <v>68.9</v>
      </c>
      <c r="O5">
        <f ca="1" t="shared" si="3"/>
        <v>207.498116725055</v>
      </c>
      <c r="P5">
        <f ca="1" t="shared" si="1"/>
        <v>61.7130456224614</v>
      </c>
      <c r="Q5">
        <f ca="1" t="shared" si="1"/>
        <v>31.9161401175017</v>
      </c>
      <c r="R5">
        <f ca="1" t="shared" si="1"/>
        <v>132.595075631159</v>
      </c>
      <c r="S5">
        <f ca="1" t="shared" si="1"/>
        <v>79.694337941914</v>
      </c>
      <c r="T5">
        <f ca="1" t="shared" si="1"/>
        <v>6.05475020128824</v>
      </c>
      <c r="U5" t="str">
        <f ca="1" t="shared" si="4"/>
        <v>C6</v>
      </c>
      <c r="V5">
        <v>5</v>
      </c>
      <c r="W5" t="str">
        <f ca="1" t="shared" si="5"/>
        <v>C6</v>
      </c>
      <c r="X5">
        <f ca="1" t="shared" si="6"/>
        <v>0</v>
      </c>
    </row>
    <row r="6" spans="1:24">
      <c r="A6" t="s">
        <v>17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M6" si="8">IFERROR(AVERAGEIFS(INDIRECT($F$1&amp;"!"&amp;ADDRESS(3,$F6,1)):INDIRECT($F$1&amp;"!"&amp;ADDRESS(52,$F6,1)),INDIRECT($F$1&amp;"!$U$3"):INDIRECT($F$1&amp;"!$U$52"),H$2),0)</f>
        <v>11.8</v>
      </c>
      <c r="I6">
        <f ca="1" t="shared" si="8"/>
        <v>28</v>
      </c>
      <c r="J6">
        <f ca="1" t="shared" si="8"/>
        <v>23.4</v>
      </c>
      <c r="K6">
        <f ca="1" t="shared" si="8"/>
        <v>18.2142857142857</v>
      </c>
      <c r="L6">
        <f ca="1" t="shared" si="8"/>
        <v>20</v>
      </c>
      <c r="M6">
        <f ca="1" t="shared" si="8"/>
        <v>28.2</v>
      </c>
      <c r="O6">
        <f ca="1" t="shared" si="3"/>
        <v>157.264623414733</v>
      </c>
      <c r="P6">
        <f ca="1" t="shared" si="1"/>
        <v>25.7196422992234</v>
      </c>
      <c r="Q6">
        <f ca="1" t="shared" si="1"/>
        <v>67.8486551082628</v>
      </c>
      <c r="R6">
        <f ca="1" t="shared" si="1"/>
        <v>82.945058038808</v>
      </c>
      <c r="S6">
        <f ca="1" t="shared" si="1"/>
        <v>44.3924261558208</v>
      </c>
      <c r="T6">
        <f ca="1" t="shared" si="1"/>
        <v>50.5456229559</v>
      </c>
      <c r="U6" t="str">
        <f ca="1" t="shared" si="4"/>
        <v>C2</v>
      </c>
      <c r="V6">
        <v>6</v>
      </c>
      <c r="W6" t="str">
        <f ca="1" t="shared" si="5"/>
        <v>C6</v>
      </c>
      <c r="X6">
        <f ca="1" t="shared" si="6"/>
        <v>1</v>
      </c>
    </row>
    <row r="7" spans="1:24">
      <c r="A7" t="s">
        <v>18</v>
      </c>
      <c r="B7">
        <v>7</v>
      </c>
      <c r="C7">
        <v>235</v>
      </c>
      <c r="D7">
        <v>86</v>
      </c>
      <c r="E7">
        <v>39</v>
      </c>
      <c r="O7">
        <f ca="1" t="shared" si="3"/>
        <v>218.925166311332</v>
      </c>
      <c r="P7">
        <f ca="1" t="shared" si="1"/>
        <v>73.2973396515863</v>
      </c>
      <c r="Q7">
        <f ca="1" t="shared" si="1"/>
        <v>42.9283123358</v>
      </c>
      <c r="R7">
        <f ca="1" t="shared" si="1"/>
        <v>144.505154911229</v>
      </c>
      <c r="S7">
        <f ca="1" t="shared" si="1"/>
        <v>89.3374921295645</v>
      </c>
      <c r="T7">
        <f ca="1" t="shared" si="1"/>
        <v>23.8968617186441</v>
      </c>
      <c r="U7" t="str">
        <f ca="1" t="shared" si="4"/>
        <v>C6</v>
      </c>
      <c r="V7">
        <v>7</v>
      </c>
      <c r="W7" t="str">
        <f ca="1" t="shared" si="5"/>
        <v>C6</v>
      </c>
      <c r="X7">
        <f ca="1" t="shared" si="6"/>
        <v>0</v>
      </c>
    </row>
    <row r="8" spans="1:24">
      <c r="A8" t="s">
        <v>19</v>
      </c>
      <c r="B8">
        <v>5</v>
      </c>
      <c r="C8">
        <v>170</v>
      </c>
      <c r="D8">
        <v>78</v>
      </c>
      <c r="E8">
        <v>37</v>
      </c>
      <c r="O8">
        <f ca="1" t="shared" si="3"/>
        <v>153.807071069932</v>
      </c>
      <c r="P8">
        <f ca="1" t="shared" si="1"/>
        <v>14.4395290781937</v>
      </c>
      <c r="Q8">
        <f ca="1" t="shared" si="1"/>
        <v>81.8549937389284</v>
      </c>
      <c r="R8">
        <f ca="1" t="shared" si="1"/>
        <v>80.0314032752399</v>
      </c>
      <c r="S8">
        <f ca="1" t="shared" si="1"/>
        <v>28.577744837548</v>
      </c>
      <c r="T8">
        <f ca="1" t="shared" si="1"/>
        <v>54.1835768476021</v>
      </c>
      <c r="U8" t="str">
        <f ca="1" t="shared" si="4"/>
        <v>C2</v>
      </c>
      <c r="V8">
        <v>8</v>
      </c>
      <c r="W8" t="str">
        <f ca="1" t="shared" si="5"/>
        <v>C2</v>
      </c>
      <c r="X8">
        <f ca="1" t="shared" si="6"/>
        <v>0</v>
      </c>
    </row>
    <row r="9" spans="1:24">
      <c r="A9" t="s">
        <v>20</v>
      </c>
      <c r="B9">
        <v>0</v>
      </c>
      <c r="C9">
        <v>35</v>
      </c>
      <c r="D9">
        <v>75</v>
      </c>
      <c r="E9">
        <v>7</v>
      </c>
      <c r="O9">
        <f ca="1" t="shared" si="3"/>
        <v>25.3537987510967</v>
      </c>
      <c r="P9">
        <f ca="1" t="shared" si="1"/>
        <v>131.687129211628</v>
      </c>
      <c r="Q9">
        <f ca="1" t="shared" si="1"/>
        <v>212.164181708412</v>
      </c>
      <c r="R9">
        <f ca="1" t="shared" si="1"/>
        <v>63.0081384442048</v>
      </c>
      <c r="S9">
        <f ca="1" t="shared" si="1"/>
        <v>114.02713492849</v>
      </c>
      <c r="T9">
        <f ca="1" t="shared" si="1"/>
        <v>189.027140908389</v>
      </c>
      <c r="U9" t="str">
        <f ca="1" t="shared" si="4"/>
        <v>C1</v>
      </c>
      <c r="V9">
        <v>9</v>
      </c>
      <c r="W9" t="str">
        <f ca="1" t="shared" si="5"/>
        <v>C1</v>
      </c>
      <c r="X9">
        <f ca="1" t="shared" si="6"/>
        <v>0</v>
      </c>
    </row>
    <row r="10" spans="1:24">
      <c r="A10" t="s">
        <v>21</v>
      </c>
      <c r="B10">
        <v>4</v>
      </c>
      <c r="C10">
        <v>198</v>
      </c>
      <c r="D10">
        <v>70</v>
      </c>
      <c r="E10">
        <v>15</v>
      </c>
      <c r="G10" t="s">
        <v>66</v>
      </c>
      <c r="I10" s="8">
        <f ca="1">SUM(X3:X52)</f>
        <v>8</v>
      </c>
      <c r="O10">
        <f ca="1" t="shared" si="3"/>
        <v>178.628894017115</v>
      </c>
      <c r="P10">
        <f ca="1" t="shared" si="1"/>
        <v>36.4348734044734</v>
      </c>
      <c r="Q10">
        <f ca="1" t="shared" si="1"/>
        <v>52.839757758718</v>
      </c>
      <c r="R10">
        <f ca="1" t="shared" si="1"/>
        <v>104.086625030328</v>
      </c>
      <c r="S10">
        <f ca="1" t="shared" si="1"/>
        <v>52.3085796022029</v>
      </c>
      <c r="T10">
        <f ca="1" t="shared" si="1"/>
        <v>28.3700546351254</v>
      </c>
      <c r="U10" t="str">
        <f ca="1" t="shared" si="4"/>
        <v>C6</v>
      </c>
      <c r="V10">
        <v>10</v>
      </c>
      <c r="W10" t="str">
        <f ca="1" t="shared" si="5"/>
        <v>C6</v>
      </c>
      <c r="X10">
        <f ca="1" t="shared" si="6"/>
        <v>0</v>
      </c>
    </row>
    <row r="11" spans="1:24">
      <c r="A11" t="s">
        <v>22</v>
      </c>
      <c r="B11">
        <v>13</v>
      </c>
      <c r="C11">
        <v>259</v>
      </c>
      <c r="D11">
        <v>74</v>
      </c>
      <c r="E11">
        <v>30</v>
      </c>
      <c r="O11">
        <f ca="1" t="shared" si="3"/>
        <v>240.658655452997</v>
      </c>
      <c r="P11">
        <f ca="1" t="shared" si="1"/>
        <v>94.6757624738243</v>
      </c>
      <c r="Q11">
        <f ca="1" t="shared" si="1"/>
        <v>31.0844012327727</v>
      </c>
      <c r="R11">
        <f ca="1" t="shared" si="1"/>
        <v>165.667558067107</v>
      </c>
      <c r="S11">
        <f ca="1" t="shared" si="1"/>
        <v>112.228282977153</v>
      </c>
      <c r="T11">
        <f ca="1" t="shared" si="1"/>
        <v>37.0737103619263</v>
      </c>
      <c r="U11" t="str">
        <f ca="1" t="shared" si="4"/>
        <v>C3</v>
      </c>
      <c r="V11">
        <v>11</v>
      </c>
      <c r="W11" t="str">
        <f ca="1" t="shared" si="5"/>
        <v>C6</v>
      </c>
      <c r="X11">
        <f ca="1" t="shared" si="6"/>
        <v>1</v>
      </c>
    </row>
    <row r="12" spans="1:24">
      <c r="A12" t="s">
        <v>23</v>
      </c>
      <c r="B12">
        <v>15</v>
      </c>
      <c r="C12">
        <v>136</v>
      </c>
      <c r="D12">
        <v>52</v>
      </c>
      <c r="E12">
        <v>24</v>
      </c>
      <c r="O12">
        <f ca="1" t="shared" si="3"/>
        <v>117.392625170598</v>
      </c>
      <c r="P12">
        <f ca="1" t="shared" si="1"/>
        <v>34.0514316879628</v>
      </c>
      <c r="Q12">
        <f ca="1" t="shared" si="1"/>
        <v>108.552475789362</v>
      </c>
      <c r="R12">
        <f ca="1" t="shared" si="1"/>
        <v>43.2982655070427</v>
      </c>
      <c r="S12">
        <f ca="1" t="shared" si="1"/>
        <v>34.5063399971657</v>
      </c>
      <c r="T12">
        <f ca="1" t="shared" si="1"/>
        <v>88.4130080927009</v>
      </c>
      <c r="U12" t="str">
        <f ca="1" t="shared" si="4"/>
        <v>C2</v>
      </c>
      <c r="V12">
        <v>12</v>
      </c>
      <c r="W12" t="str">
        <f ca="1" t="shared" si="5"/>
        <v>C4</v>
      </c>
      <c r="X12">
        <f ca="1" t="shared" si="6"/>
        <v>1</v>
      </c>
    </row>
    <row r="13" spans="1:24">
      <c r="A13" t="s">
        <v>24</v>
      </c>
      <c r="B13">
        <v>5</v>
      </c>
      <c r="C13">
        <v>32</v>
      </c>
      <c r="D13">
        <v>82</v>
      </c>
      <c r="E13">
        <v>17</v>
      </c>
      <c r="O13">
        <f ca="1" t="shared" si="3"/>
        <v>29.9729062840278</v>
      </c>
      <c r="P13">
        <f ca="1" t="shared" si="1"/>
        <v>133.635698823331</v>
      </c>
      <c r="Q13">
        <f ca="1" t="shared" si="1"/>
        <v>215.396007391038</v>
      </c>
      <c r="R13">
        <f ca="1" t="shared" si="1"/>
        <v>66.6881640509753</v>
      </c>
      <c r="S13">
        <f ca="1" t="shared" si="1"/>
        <v>115.817474933621</v>
      </c>
      <c r="T13">
        <f ca="1" t="shared" si="1"/>
        <v>191.32867009416</v>
      </c>
      <c r="U13" t="str">
        <f ca="1" t="shared" si="4"/>
        <v>C1</v>
      </c>
      <c r="V13">
        <v>13</v>
      </c>
      <c r="W13" t="str">
        <f ca="1" t="shared" si="5"/>
        <v>C1</v>
      </c>
      <c r="X13">
        <f ca="1" t="shared" si="6"/>
        <v>0</v>
      </c>
    </row>
    <row r="14" spans="1:24">
      <c r="A14" t="s">
        <v>25</v>
      </c>
      <c r="B14">
        <v>0</v>
      </c>
      <c r="C14">
        <v>54</v>
      </c>
      <c r="D14">
        <v>47</v>
      </c>
      <c r="E14">
        <v>12</v>
      </c>
      <c r="O14">
        <f ca="1" t="shared" si="3"/>
        <v>35.0000253968162</v>
      </c>
      <c r="P14">
        <f ca="1" t="shared" si="1"/>
        <v>114.335034000957</v>
      </c>
      <c r="Q14">
        <f ca="1" t="shared" si="1"/>
        <v>191.093798957475</v>
      </c>
      <c r="R14">
        <f ca="1" t="shared" si="1"/>
        <v>43.2223133039746</v>
      </c>
      <c r="S14">
        <f ca="1" t="shared" si="1"/>
        <v>101.092470045993</v>
      </c>
      <c r="T14">
        <f ca="1" t="shared" si="1"/>
        <v>170.946365857833</v>
      </c>
      <c r="U14" t="str">
        <f ca="1" t="shared" si="4"/>
        <v>C1</v>
      </c>
      <c r="V14">
        <v>14</v>
      </c>
      <c r="W14" t="str">
        <f ca="1" t="shared" si="5"/>
        <v>C1</v>
      </c>
      <c r="X14">
        <f ca="1" t="shared" si="6"/>
        <v>0</v>
      </c>
    </row>
    <row r="15" spans="1:24">
      <c r="A15" t="s">
        <v>26</v>
      </c>
      <c r="B15">
        <v>10</v>
      </c>
      <c r="C15">
        <v>218</v>
      </c>
      <c r="D15">
        <v>79</v>
      </c>
      <c r="E15">
        <v>20</v>
      </c>
      <c r="O15">
        <f ca="1" t="shared" si="3"/>
        <v>199.732458832086</v>
      </c>
      <c r="P15">
        <f ca="1" t="shared" si="1"/>
        <v>54.922672913834</v>
      </c>
      <c r="Q15">
        <f ca="1" t="shared" si="1"/>
        <v>41.3477931696481</v>
      </c>
      <c r="R15">
        <f ca="1" t="shared" si="1"/>
        <v>125.106342520176</v>
      </c>
      <c r="S15">
        <f ca="1" t="shared" si="1"/>
        <v>70.432148199526</v>
      </c>
      <c r="T15">
        <f ca="1" t="shared" si="1"/>
        <v>13.7789694825121</v>
      </c>
      <c r="U15" t="str">
        <f ca="1" t="shared" si="4"/>
        <v>C6</v>
      </c>
      <c r="V15">
        <v>15</v>
      </c>
      <c r="W15" t="str">
        <f ca="1" t="shared" si="5"/>
        <v>C6</v>
      </c>
      <c r="X15">
        <f ca="1" t="shared" si="6"/>
        <v>0</v>
      </c>
    </row>
    <row r="16" spans="1:24">
      <c r="A16" t="s">
        <v>27</v>
      </c>
      <c r="B16">
        <v>7</v>
      </c>
      <c r="C16">
        <v>26</v>
      </c>
      <c r="D16">
        <v>65</v>
      </c>
      <c r="E16">
        <v>19</v>
      </c>
      <c r="O16">
        <f ca="1" t="shared" si="3"/>
        <v>14.4836152638459</v>
      </c>
      <c r="P16">
        <f ca="1" t="shared" si="1"/>
        <v>138.89744418095</v>
      </c>
      <c r="Q16">
        <f ca="1" t="shared" si="1"/>
        <v>219.200456203905</v>
      </c>
      <c r="R16">
        <f ca="1" t="shared" si="1"/>
        <v>68.8416179890256</v>
      </c>
      <c r="S16">
        <f ca="1" t="shared" si="1"/>
        <v>123.114530011693</v>
      </c>
      <c r="T16">
        <f ca="1" t="shared" si="1"/>
        <v>196.768544234082</v>
      </c>
      <c r="U16" t="str">
        <f ca="1" t="shared" si="4"/>
        <v>C1</v>
      </c>
      <c r="V16">
        <v>16</v>
      </c>
      <c r="W16" t="str">
        <f ca="1" t="shared" si="5"/>
        <v>C1</v>
      </c>
      <c r="X16">
        <f ca="1" t="shared" si="6"/>
        <v>0</v>
      </c>
    </row>
    <row r="17" spans="1:24">
      <c r="A17" t="s">
        <v>28</v>
      </c>
      <c r="B17">
        <v>2</v>
      </c>
      <c r="C17">
        <v>0.1</v>
      </c>
      <c r="D17">
        <v>53</v>
      </c>
      <c r="E17">
        <v>9</v>
      </c>
      <c r="O17">
        <f ca="1" t="shared" si="3"/>
        <v>20.2426886663912</v>
      </c>
      <c r="P17">
        <f ca="1" t="shared" si="1"/>
        <v>166.507086936262</v>
      </c>
      <c r="Q17">
        <f ca="1" t="shared" si="1"/>
        <v>244.976264156346</v>
      </c>
      <c r="R17">
        <f ca="1" t="shared" si="1"/>
        <v>95.2056785306937</v>
      </c>
      <c r="S17">
        <f ca="1" t="shared" si="1"/>
        <v>151.208953107943</v>
      </c>
      <c r="T17">
        <f ca="1" t="shared" si="1"/>
        <v>223.915095516135</v>
      </c>
      <c r="U17" t="str">
        <f ca="1" t="shared" si="4"/>
        <v>C1</v>
      </c>
      <c r="V17">
        <v>17</v>
      </c>
      <c r="W17" t="str">
        <f ca="1" t="shared" si="5"/>
        <v>C1</v>
      </c>
      <c r="X17">
        <f ca="1" t="shared" si="6"/>
        <v>0</v>
      </c>
    </row>
    <row r="18" spans="1:24">
      <c r="A18" t="s">
        <v>29</v>
      </c>
      <c r="B18">
        <v>3</v>
      </c>
      <c r="C18">
        <v>80</v>
      </c>
      <c r="D18">
        <v>56</v>
      </c>
      <c r="E18">
        <v>16</v>
      </c>
      <c r="O18">
        <f ca="1" t="shared" si="3"/>
        <v>60.1359718563782</v>
      </c>
      <c r="P18">
        <f ca="1" t="shared" si="1"/>
        <v>86.6919834817499</v>
      </c>
      <c r="Q18">
        <f ca="1" t="shared" si="1"/>
        <v>165.015272020501</v>
      </c>
      <c r="R18">
        <f ca="1" t="shared" si="1"/>
        <v>15.3956328289577</v>
      </c>
      <c r="S18">
        <f ca="1" t="shared" si="1"/>
        <v>73.2576787784052</v>
      </c>
      <c r="T18">
        <f ca="1" t="shared" si="1"/>
        <v>143.744425978888</v>
      </c>
      <c r="U18" t="str">
        <f ca="1" t="shared" si="4"/>
        <v>C4</v>
      </c>
      <c r="V18">
        <v>18</v>
      </c>
      <c r="W18" t="str">
        <f ca="1" t="shared" si="5"/>
        <v>C4</v>
      </c>
      <c r="X18">
        <f ca="1" t="shared" si="6"/>
        <v>0</v>
      </c>
    </row>
    <row r="19" spans="1:24">
      <c r="A19" t="s">
        <v>30</v>
      </c>
      <c r="B19">
        <v>7</v>
      </c>
      <c r="C19">
        <v>70</v>
      </c>
      <c r="D19">
        <v>43</v>
      </c>
      <c r="E19">
        <v>15</v>
      </c>
      <c r="O19">
        <f ca="1" t="shared" si="3"/>
        <v>51.7940966177077</v>
      </c>
      <c r="P19">
        <f ca="1" t="shared" si="3"/>
        <v>99.0479681770404</v>
      </c>
      <c r="Q19">
        <f ca="1" t="shared" si="3"/>
        <v>174.718173067372</v>
      </c>
      <c r="R19">
        <f ca="1" t="shared" si="3"/>
        <v>29.5058797322756</v>
      </c>
      <c r="S19">
        <f ca="1" t="shared" si="3"/>
        <v>87.6937141418927</v>
      </c>
      <c r="T19">
        <f ca="1" t="shared" si="3"/>
        <v>155.264484026451</v>
      </c>
      <c r="U19" t="str">
        <f ca="1" t="shared" si="4"/>
        <v>C4</v>
      </c>
      <c r="V19">
        <v>19</v>
      </c>
      <c r="W19" t="str">
        <f ca="1" t="shared" si="5"/>
        <v>C4</v>
      </c>
      <c r="X19">
        <f ca="1" t="shared" si="6"/>
        <v>0</v>
      </c>
    </row>
    <row r="20" spans="1:24">
      <c r="A20" t="s">
        <v>31</v>
      </c>
      <c r="B20">
        <v>15</v>
      </c>
      <c r="C20">
        <v>159</v>
      </c>
      <c r="D20">
        <v>61</v>
      </c>
      <c r="E20">
        <v>19</v>
      </c>
      <c r="O20">
        <f ca="1" t="shared" si="3"/>
        <v>139.897111398977</v>
      </c>
      <c r="P20">
        <f ca="1" t="shared" si="3"/>
        <v>14.4395290781937</v>
      </c>
      <c r="Q20">
        <f ca="1" t="shared" si="3"/>
        <v>86.6547171249206</v>
      </c>
      <c r="R20">
        <f ca="1" t="shared" si="3"/>
        <v>65.0507258896894</v>
      </c>
      <c r="S20">
        <f ca="1" t="shared" si="3"/>
        <v>26.1282892666168</v>
      </c>
      <c r="T20">
        <f ca="1" t="shared" si="3"/>
        <v>64.8895985501529</v>
      </c>
      <c r="U20" t="str">
        <f ca="1" t="shared" si="4"/>
        <v>C2</v>
      </c>
      <c r="V20">
        <v>20</v>
      </c>
      <c r="W20" t="str">
        <f ca="1" t="shared" si="5"/>
        <v>C2</v>
      </c>
      <c r="X20">
        <f ca="1" t="shared" si="6"/>
        <v>0</v>
      </c>
    </row>
    <row r="21" spans="1:24">
      <c r="A21" t="s">
        <v>32</v>
      </c>
      <c r="B21">
        <v>1</v>
      </c>
      <c r="C21">
        <v>0.1</v>
      </c>
      <c r="D21">
        <v>45</v>
      </c>
      <c r="E21">
        <v>7</v>
      </c>
      <c r="O21">
        <f ca="1" t="shared" si="3"/>
        <v>22.911273304739</v>
      </c>
      <c r="P21">
        <f ca="1" t="shared" si="3"/>
        <v>167.778455112687</v>
      </c>
      <c r="Q21">
        <f ca="1" t="shared" si="3"/>
        <v>245.090942305096</v>
      </c>
      <c r="R21">
        <f ca="1" t="shared" si="3"/>
        <v>96.3044640497956</v>
      </c>
      <c r="S21">
        <f ca="1" t="shared" si="3"/>
        <v>153.204593599539</v>
      </c>
      <c r="T21">
        <f ca="1" t="shared" si="3"/>
        <v>224.839876356486</v>
      </c>
      <c r="U21" t="str">
        <f ca="1" t="shared" si="4"/>
        <v>C1</v>
      </c>
      <c r="V21">
        <v>21</v>
      </c>
      <c r="W21" t="str">
        <f ca="1" t="shared" si="5"/>
        <v>C1</v>
      </c>
      <c r="X21">
        <f ca="1" t="shared" si="6"/>
        <v>0</v>
      </c>
    </row>
    <row r="22" spans="1:24">
      <c r="A22" t="s">
        <v>33</v>
      </c>
      <c r="B22">
        <v>10</v>
      </c>
      <c r="C22">
        <v>260</v>
      </c>
      <c r="D22">
        <v>63</v>
      </c>
      <c r="E22">
        <v>28</v>
      </c>
      <c r="O22">
        <f ca="1" t="shared" si="3"/>
        <v>240.782921136677</v>
      </c>
      <c r="P22">
        <f ca="1" t="shared" si="3"/>
        <v>95.7209485953832</v>
      </c>
      <c r="Q22">
        <f ca="1" t="shared" si="3"/>
        <v>22.5929192447545</v>
      </c>
      <c r="R22">
        <f ca="1" t="shared" si="3"/>
        <v>165.807624575431</v>
      </c>
      <c r="S22">
        <f ca="1" t="shared" si="3"/>
        <v>114.375204917849</v>
      </c>
      <c r="T22">
        <f ca="1" t="shared" si="3"/>
        <v>37.9665642374972</v>
      </c>
      <c r="U22" t="str">
        <f ca="1" t="shared" si="4"/>
        <v>C3</v>
      </c>
      <c r="V22">
        <v>22</v>
      </c>
      <c r="W22" t="str">
        <f ca="1" t="shared" si="5"/>
        <v>C3</v>
      </c>
      <c r="X22">
        <f ca="1" t="shared" si="6"/>
        <v>0</v>
      </c>
    </row>
    <row r="23" spans="1:24">
      <c r="A23" t="s">
        <v>34</v>
      </c>
      <c r="B23">
        <v>2</v>
      </c>
      <c r="C23">
        <v>138</v>
      </c>
      <c r="D23">
        <v>82</v>
      </c>
      <c r="E23">
        <v>13</v>
      </c>
      <c r="O23">
        <f ca="1" t="shared" si="3"/>
        <v>120.985130399474</v>
      </c>
      <c r="P23">
        <f ca="1" t="shared" si="3"/>
        <v>33.8747693719086</v>
      </c>
      <c r="Q23">
        <f ca="1" t="shared" si="3"/>
        <v>112.776061289619</v>
      </c>
      <c r="R23">
        <f ca="1" t="shared" si="3"/>
        <v>49.6044044291987</v>
      </c>
      <c r="S23">
        <f ca="1" t="shared" si="3"/>
        <v>13.1600721882519</v>
      </c>
      <c r="T23">
        <f ca="1" t="shared" si="3"/>
        <v>87.164557017173</v>
      </c>
      <c r="U23" t="str">
        <f ca="1" t="shared" si="4"/>
        <v>C5</v>
      </c>
      <c r="V23">
        <v>23</v>
      </c>
      <c r="W23" t="str">
        <f ca="1" t="shared" si="5"/>
        <v>C5</v>
      </c>
      <c r="X23">
        <f ca="1" t="shared" si="6"/>
        <v>0</v>
      </c>
    </row>
    <row r="24" spans="1:24">
      <c r="A24" t="s">
        <v>35</v>
      </c>
      <c r="B24">
        <v>11</v>
      </c>
      <c r="C24">
        <v>251</v>
      </c>
      <c r="D24">
        <v>68</v>
      </c>
      <c r="E24">
        <v>35</v>
      </c>
      <c r="O24">
        <f ca="1" t="shared" si="3"/>
        <v>232.667004775304</v>
      </c>
      <c r="P24">
        <f ca="1" t="shared" si="3"/>
        <v>86.8014976829317</v>
      </c>
      <c r="Q24">
        <f ca="1" t="shared" si="3"/>
        <v>24.5528002476296</v>
      </c>
      <c r="R24">
        <f ca="1" t="shared" si="3"/>
        <v>157.65431377879</v>
      </c>
      <c r="S24">
        <f ca="1" t="shared" si="3"/>
        <v>105.50918206488</v>
      </c>
      <c r="T24">
        <f ca="1" t="shared" si="3"/>
        <v>29.3574522055304</v>
      </c>
      <c r="U24" t="str">
        <f ca="1" t="shared" si="4"/>
        <v>C3</v>
      </c>
      <c r="V24">
        <v>24</v>
      </c>
      <c r="W24" t="str">
        <f ca="1" t="shared" si="5"/>
        <v>C6</v>
      </c>
      <c r="X24">
        <f ca="1" t="shared" si="6"/>
        <v>1</v>
      </c>
    </row>
    <row r="25" spans="1:24">
      <c r="A25" t="s">
        <v>36</v>
      </c>
      <c r="B25">
        <v>1</v>
      </c>
      <c r="C25">
        <v>3</v>
      </c>
      <c r="D25">
        <v>62</v>
      </c>
      <c r="E25">
        <v>14</v>
      </c>
      <c r="O25">
        <f ca="1" t="shared" si="3"/>
        <v>18.4868000956839</v>
      </c>
      <c r="P25">
        <f ca="1" t="shared" si="3"/>
        <v>162.528459046408</v>
      </c>
      <c r="Q25">
        <f ca="1" t="shared" si="3"/>
        <v>242.255732646309</v>
      </c>
      <c r="R25">
        <f ca="1" t="shared" si="3"/>
        <v>91.8696114621374</v>
      </c>
      <c r="S25">
        <f ca="1" t="shared" si="3"/>
        <v>146.557795766721</v>
      </c>
      <c r="T25">
        <f ca="1" t="shared" si="3"/>
        <v>220.227291678393</v>
      </c>
      <c r="U25" t="str">
        <f ca="1" t="shared" si="4"/>
        <v>C1</v>
      </c>
      <c r="V25">
        <v>25</v>
      </c>
      <c r="W25" t="str">
        <f ca="1" t="shared" si="5"/>
        <v>C1</v>
      </c>
      <c r="X25">
        <f ca="1" t="shared" si="6"/>
        <v>0</v>
      </c>
    </row>
    <row r="26" spans="1:24">
      <c r="A26" t="s">
        <v>37</v>
      </c>
      <c r="B26">
        <v>13</v>
      </c>
      <c r="C26">
        <v>209</v>
      </c>
      <c r="D26">
        <v>44</v>
      </c>
      <c r="E26">
        <v>13</v>
      </c>
      <c r="O26">
        <f ca="1" t="shared" si="3"/>
        <v>189.635057705877</v>
      </c>
      <c r="P26">
        <f ca="1" t="shared" si="3"/>
        <v>53.5210239064986</v>
      </c>
      <c r="Q26">
        <f ca="1" t="shared" si="3"/>
        <v>37.0788349331529</v>
      </c>
      <c r="R26">
        <f ca="1" t="shared" si="3"/>
        <v>115.720215897426</v>
      </c>
      <c r="S26">
        <f ca="1" t="shared" si="3"/>
        <v>73.3088500796459</v>
      </c>
      <c r="T26">
        <f ca="1" t="shared" si="3"/>
        <v>32.3459425585343</v>
      </c>
      <c r="U26" t="str">
        <f ca="1" t="shared" si="4"/>
        <v>C6</v>
      </c>
      <c r="V26">
        <v>26</v>
      </c>
      <c r="W26" t="str">
        <f ca="1" t="shared" si="5"/>
        <v>C3</v>
      </c>
      <c r="X26">
        <f ca="1" t="shared" si="6"/>
        <v>1</v>
      </c>
    </row>
    <row r="27" spans="1:24">
      <c r="A27" t="s">
        <v>38</v>
      </c>
      <c r="B27">
        <v>8</v>
      </c>
      <c r="C27">
        <v>80</v>
      </c>
      <c r="D27">
        <v>61</v>
      </c>
      <c r="E27">
        <v>28</v>
      </c>
      <c r="O27">
        <f ca="1" t="shared" si="3"/>
        <v>62.6923847936184</v>
      </c>
      <c r="P27">
        <f ca="1" t="shared" si="3"/>
        <v>84.9499852854608</v>
      </c>
      <c r="Q27">
        <f ca="1" t="shared" si="3"/>
        <v>165.064956910908</v>
      </c>
      <c r="R27">
        <f ca="1" t="shared" si="3"/>
        <v>17.7489580033331</v>
      </c>
      <c r="S27">
        <f ca="1" t="shared" si="3"/>
        <v>71.7613231483367</v>
      </c>
      <c r="T27">
        <f ca="1" t="shared" si="3"/>
        <v>142.72582106963</v>
      </c>
      <c r="U27" t="str">
        <f ca="1" t="shared" si="4"/>
        <v>C4</v>
      </c>
      <c r="V27">
        <v>27</v>
      </c>
      <c r="W27" t="str">
        <f ca="1" t="shared" si="5"/>
        <v>C4</v>
      </c>
      <c r="X27">
        <f ca="1" t="shared" si="6"/>
        <v>0</v>
      </c>
    </row>
    <row r="28" spans="1:24">
      <c r="A28" t="s">
        <v>39</v>
      </c>
      <c r="B28">
        <v>5</v>
      </c>
      <c r="C28">
        <v>19</v>
      </c>
      <c r="D28">
        <v>45</v>
      </c>
      <c r="E28">
        <v>15</v>
      </c>
      <c r="O28">
        <f ca="1" t="shared" si="3"/>
        <v>11.1834003972157</v>
      </c>
      <c r="P28">
        <f ca="1" t="shared" si="3"/>
        <v>148.204250951179</v>
      </c>
      <c r="Q28">
        <f ca="1" t="shared" si="3"/>
        <v>225.665770554597</v>
      </c>
      <c r="R28">
        <f ca="1" t="shared" si="3"/>
        <v>76.9352033220429</v>
      </c>
      <c r="S28">
        <f ca="1" t="shared" si="3"/>
        <v>134.423537745441</v>
      </c>
      <c r="T28">
        <f ca="1" t="shared" si="3"/>
        <v>205.370543165275</v>
      </c>
      <c r="U28" t="str">
        <f ca="1" t="shared" si="4"/>
        <v>C1</v>
      </c>
      <c r="V28">
        <v>28</v>
      </c>
      <c r="W28" t="str">
        <f ca="1" t="shared" si="5"/>
        <v>C1</v>
      </c>
      <c r="X28">
        <f ca="1" t="shared" si="6"/>
        <v>0</v>
      </c>
    </row>
    <row r="29" spans="1:24">
      <c r="A29" t="s">
        <v>40</v>
      </c>
      <c r="B29">
        <v>4</v>
      </c>
      <c r="C29">
        <v>10</v>
      </c>
      <c r="D29">
        <v>56</v>
      </c>
      <c r="E29">
        <v>13</v>
      </c>
      <c r="O29">
        <f ca="1" t="shared" si="3"/>
        <v>10.3493209653795</v>
      </c>
      <c r="P29">
        <f ca="1" t="shared" si="3"/>
        <v>155.927867938993</v>
      </c>
      <c r="Q29">
        <f ca="1" t="shared" si="3"/>
        <v>234.911132132983</v>
      </c>
      <c r="R29">
        <f ca="1" t="shared" si="3"/>
        <v>84.8159171141736</v>
      </c>
      <c r="S29">
        <f ca="1" t="shared" si="3"/>
        <v>140.631388743765</v>
      </c>
      <c r="T29">
        <f ca="1" t="shared" si="3"/>
        <v>213.501428566649</v>
      </c>
      <c r="U29" t="str">
        <f ca="1" t="shared" si="4"/>
        <v>C1</v>
      </c>
      <c r="V29">
        <v>29</v>
      </c>
      <c r="W29" t="str">
        <f ca="1" t="shared" si="5"/>
        <v>C1</v>
      </c>
      <c r="X29">
        <f ca="1" t="shared" si="6"/>
        <v>0</v>
      </c>
    </row>
    <row r="30" spans="1:24">
      <c r="A30" t="s">
        <v>41</v>
      </c>
      <c r="B30">
        <v>11</v>
      </c>
      <c r="C30">
        <v>239</v>
      </c>
      <c r="D30">
        <v>75</v>
      </c>
      <c r="E30">
        <v>43</v>
      </c>
      <c r="O30">
        <f ca="1" t="shared" si="3"/>
        <v>222.256552459339</v>
      </c>
      <c r="P30">
        <f ca="1" t="shared" si="3"/>
        <v>76.2003936997703</v>
      </c>
      <c r="Q30">
        <f ca="1" t="shared" si="3"/>
        <v>34.284690460904</v>
      </c>
      <c r="R30">
        <f ca="1" t="shared" si="3"/>
        <v>147.486163308112</v>
      </c>
      <c r="S30">
        <f ca="1" t="shared" si="3"/>
        <v>94.5393436617792</v>
      </c>
      <c r="T30">
        <f ca="1" t="shared" si="3"/>
        <v>23.0447390959412</v>
      </c>
      <c r="U30" t="str">
        <f ca="1" t="shared" si="4"/>
        <v>C6</v>
      </c>
      <c r="V30">
        <v>30</v>
      </c>
      <c r="W30" t="str">
        <f ca="1" t="shared" si="5"/>
        <v>C6</v>
      </c>
      <c r="X30">
        <f ca="1" t="shared" si="6"/>
        <v>0</v>
      </c>
    </row>
    <row r="31" spans="1:24">
      <c r="A31" t="s">
        <v>42</v>
      </c>
      <c r="B31">
        <v>0</v>
      </c>
      <c r="C31">
        <v>0.1</v>
      </c>
      <c r="D31">
        <v>53</v>
      </c>
      <c r="E31">
        <v>6</v>
      </c>
      <c r="O31">
        <f ca="1" t="shared" si="3"/>
        <v>20.9543896223308</v>
      </c>
      <c r="P31">
        <f ca="1" t="shared" si="3"/>
        <v>166.983861495655</v>
      </c>
      <c r="Q31">
        <f ca="1" t="shared" si="3"/>
        <v>245.257354629785</v>
      </c>
      <c r="R31">
        <f ca="1" t="shared" si="3"/>
        <v>95.6532790651652</v>
      </c>
      <c r="S31">
        <f ca="1" t="shared" si="3"/>
        <v>151.539260589459</v>
      </c>
      <c r="T31">
        <f ca="1" t="shared" si="3"/>
        <v>224.26718440289</v>
      </c>
      <c r="U31" t="str">
        <f ca="1" t="shared" si="4"/>
        <v>C1</v>
      </c>
      <c r="V31">
        <v>31</v>
      </c>
      <c r="W31" t="str">
        <f ca="1" t="shared" si="5"/>
        <v>C1</v>
      </c>
      <c r="X31">
        <f ca="1" t="shared" si="6"/>
        <v>0</v>
      </c>
    </row>
    <row r="32" spans="1:24">
      <c r="A32" t="s">
        <v>43</v>
      </c>
      <c r="B32">
        <v>5</v>
      </c>
      <c r="C32">
        <v>155</v>
      </c>
      <c r="D32">
        <v>87</v>
      </c>
      <c r="E32">
        <v>19</v>
      </c>
      <c r="O32">
        <f ca="1" t="shared" si="3"/>
        <v>138.890658833167</v>
      </c>
      <c r="P32">
        <f ca="1" t="shared" si="3"/>
        <v>22.4165117714599</v>
      </c>
      <c r="Q32">
        <f ca="1" t="shared" si="3"/>
        <v>98.0991335333804</v>
      </c>
      <c r="R32">
        <f ca="1" t="shared" si="3"/>
        <v>66.6174350531543</v>
      </c>
      <c r="S32">
        <f ca="1" t="shared" si="3"/>
        <v>8.52569645248997</v>
      </c>
      <c r="T32">
        <f ca="1" t="shared" si="3"/>
        <v>70.6247831855079</v>
      </c>
      <c r="U32" t="str">
        <f ca="1" t="shared" si="4"/>
        <v>C5</v>
      </c>
      <c r="V32">
        <v>32</v>
      </c>
      <c r="W32" t="str">
        <f ca="1" t="shared" si="5"/>
        <v>C5</v>
      </c>
      <c r="X32">
        <f ca="1" t="shared" si="6"/>
        <v>0</v>
      </c>
    </row>
    <row r="33" spans="1:24">
      <c r="A33" t="s">
        <v>44</v>
      </c>
      <c r="B33">
        <v>12</v>
      </c>
      <c r="C33">
        <v>229</v>
      </c>
      <c r="D33">
        <v>64</v>
      </c>
      <c r="E33">
        <v>32</v>
      </c>
      <c r="O33">
        <f ca="1" t="shared" si="3"/>
        <v>210.375256255208</v>
      </c>
      <c r="P33">
        <f ca="1" t="shared" si="3"/>
        <v>64.8883656752118</v>
      </c>
      <c r="Q33">
        <f ca="1" t="shared" si="3"/>
        <v>24.2247807007618</v>
      </c>
      <c r="R33">
        <f ca="1" t="shared" si="3"/>
        <v>135.346739140322</v>
      </c>
      <c r="S33">
        <f ca="1" t="shared" si="3"/>
        <v>84.4907539320132</v>
      </c>
      <c r="T33">
        <f ca="1" t="shared" si="3"/>
        <v>9.35200513259055</v>
      </c>
      <c r="U33" t="str">
        <f ca="1" t="shared" si="4"/>
        <v>C6</v>
      </c>
      <c r="V33">
        <v>33</v>
      </c>
      <c r="W33" t="str">
        <f ca="1" t="shared" si="5"/>
        <v>C6</v>
      </c>
      <c r="X33">
        <f ca="1" t="shared" si="6"/>
        <v>0</v>
      </c>
    </row>
    <row r="34" spans="1:24">
      <c r="A34" t="s">
        <v>45</v>
      </c>
      <c r="B34">
        <v>9</v>
      </c>
      <c r="C34">
        <v>161</v>
      </c>
      <c r="D34">
        <v>85</v>
      </c>
      <c r="E34">
        <v>23</v>
      </c>
      <c r="O34">
        <f ca="1" t="shared" si="3"/>
        <v>144.698497266251</v>
      </c>
      <c r="P34">
        <f ca="1" t="shared" si="3"/>
        <v>16.6883192682786</v>
      </c>
      <c r="Q34">
        <f ca="1" t="shared" si="3"/>
        <v>91.5218006815863</v>
      </c>
      <c r="R34">
        <f ca="1" t="shared" si="3"/>
        <v>71.547365501492</v>
      </c>
      <c r="S34">
        <f ca="1" t="shared" si="3"/>
        <v>13.8089644796415</v>
      </c>
      <c r="T34">
        <f ca="1" t="shared" si="3"/>
        <v>63.7860486313426</v>
      </c>
      <c r="U34" t="str">
        <f ca="1" t="shared" si="4"/>
        <v>C5</v>
      </c>
      <c r="V34">
        <v>34</v>
      </c>
      <c r="W34" t="str">
        <f ca="1" t="shared" si="5"/>
        <v>C5</v>
      </c>
      <c r="X34">
        <f ca="1" t="shared" si="6"/>
        <v>0</v>
      </c>
    </row>
    <row r="35" spans="1:24">
      <c r="A35" t="s">
        <v>46</v>
      </c>
      <c r="B35">
        <v>13</v>
      </c>
      <c r="C35">
        <v>321</v>
      </c>
      <c r="D35">
        <v>45</v>
      </c>
      <c r="E35">
        <v>13</v>
      </c>
      <c r="O35">
        <f ca="1" t="shared" si="3"/>
        <v>301.353748570974</v>
      </c>
      <c r="P35">
        <f ca="1" t="shared" si="3"/>
        <v>159.143017440289</v>
      </c>
      <c r="Q35">
        <f ca="1" t="shared" si="3"/>
        <v>77.3526987247375</v>
      </c>
      <c r="R35">
        <f ca="1" t="shared" si="3"/>
        <v>227.020193743524</v>
      </c>
      <c r="S35">
        <f ca="1" t="shared" si="3"/>
        <v>177.653278888964</v>
      </c>
      <c r="T35">
        <f ca="1" t="shared" si="3"/>
        <v>102.554668348155</v>
      </c>
      <c r="U35" t="str">
        <f ca="1" t="shared" si="4"/>
        <v>C3</v>
      </c>
      <c r="V35">
        <v>35</v>
      </c>
      <c r="W35" t="str">
        <f ca="1" t="shared" si="5"/>
        <v>C3</v>
      </c>
      <c r="X35">
        <f ca="1" t="shared" si="6"/>
        <v>0</v>
      </c>
    </row>
    <row r="36" spans="1:24">
      <c r="A36" t="s">
        <v>47</v>
      </c>
      <c r="B36">
        <v>0.1</v>
      </c>
      <c r="C36">
        <v>27</v>
      </c>
      <c r="D36">
        <v>44</v>
      </c>
      <c r="E36">
        <v>6</v>
      </c>
      <c r="O36">
        <f ca="1" t="shared" si="3"/>
        <v>14.5215625115818</v>
      </c>
      <c r="P36">
        <f ca="1" t="shared" si="3"/>
        <v>141.910218095809</v>
      </c>
      <c r="Q36">
        <f ca="1" t="shared" si="3"/>
        <v>218.424655201742</v>
      </c>
      <c r="R36">
        <f ca="1" t="shared" si="3"/>
        <v>70.5574219761349</v>
      </c>
      <c r="S36">
        <f ca="1" t="shared" si="3"/>
        <v>127.938451999389</v>
      </c>
      <c r="T36">
        <f ca="1" t="shared" si="3"/>
        <v>198.543672777553</v>
      </c>
      <c r="U36" t="str">
        <f ca="1" t="shared" si="4"/>
        <v>C1</v>
      </c>
      <c r="V36">
        <v>36</v>
      </c>
      <c r="W36" t="str">
        <f ca="1" t="shared" si="5"/>
        <v>C1</v>
      </c>
      <c r="X36">
        <f ca="1" t="shared" si="6"/>
        <v>0</v>
      </c>
    </row>
    <row r="37" spans="1:24">
      <c r="A37" t="s">
        <v>48</v>
      </c>
      <c r="B37">
        <v>8</v>
      </c>
      <c r="C37">
        <v>119</v>
      </c>
      <c r="D37">
        <v>73</v>
      </c>
      <c r="E37">
        <v>18</v>
      </c>
      <c r="O37">
        <f ca="1" t="shared" si="3"/>
        <v>100.937877484674</v>
      </c>
      <c r="P37">
        <f ca="1" t="shared" si="3"/>
        <v>46.7600256629527</v>
      </c>
      <c r="Q37">
        <f ca="1" t="shared" si="3"/>
        <v>128.150848612095</v>
      </c>
      <c r="R37">
        <f ca="1" t="shared" si="3"/>
        <v>28.2088602378467</v>
      </c>
      <c r="S37">
        <f ca="1" t="shared" si="3"/>
        <v>30.5971812427223</v>
      </c>
      <c r="T37">
        <f ca="1" t="shared" si="3"/>
        <v>104.091594281191</v>
      </c>
      <c r="U37" t="str">
        <f ca="1" t="shared" si="4"/>
        <v>C4</v>
      </c>
      <c r="V37">
        <v>37</v>
      </c>
      <c r="W37" t="str">
        <f ca="1" t="shared" si="5"/>
        <v>C4</v>
      </c>
      <c r="X37">
        <f ca="1" t="shared" si="6"/>
        <v>0</v>
      </c>
    </row>
    <row r="38" spans="1:24">
      <c r="A38" t="s">
        <v>49</v>
      </c>
      <c r="B38">
        <v>4</v>
      </c>
      <c r="C38">
        <v>116</v>
      </c>
      <c r="D38">
        <v>59</v>
      </c>
      <c r="E38">
        <v>20</v>
      </c>
      <c r="O38">
        <f ca="1" t="shared" si="3"/>
        <v>96.4212378634039</v>
      </c>
      <c r="P38">
        <f ca="1" t="shared" si="3"/>
        <v>50.6211418282915</v>
      </c>
      <c r="Q38">
        <f ca="1" t="shared" si="3"/>
        <v>129.19148578757</v>
      </c>
      <c r="R38">
        <f ca="1" t="shared" si="3"/>
        <v>21.6239898902934</v>
      </c>
      <c r="S38">
        <f ca="1" t="shared" si="3"/>
        <v>40.0835065831322</v>
      </c>
      <c r="T38">
        <f ca="1" t="shared" si="3"/>
        <v>107.408845073392</v>
      </c>
      <c r="U38" t="str">
        <f ca="1" t="shared" si="4"/>
        <v>C4</v>
      </c>
      <c r="V38">
        <v>38</v>
      </c>
      <c r="W38" t="str">
        <f ca="1" t="shared" si="5"/>
        <v>C4</v>
      </c>
      <c r="X38">
        <f ca="1" t="shared" si="6"/>
        <v>0</v>
      </c>
    </row>
    <row r="39" spans="1:24">
      <c r="A39" t="s">
        <v>50</v>
      </c>
      <c r="B39">
        <v>4</v>
      </c>
      <c r="C39">
        <v>103</v>
      </c>
      <c r="D39">
        <v>58</v>
      </c>
      <c r="E39">
        <v>29</v>
      </c>
      <c r="O39">
        <f ca="1" t="shared" si="3"/>
        <v>84.810072777026</v>
      </c>
      <c r="P39">
        <f ca="1" t="shared" si="3"/>
        <v>62.8609576764465</v>
      </c>
      <c r="Q39">
        <f ca="1" t="shared" si="3"/>
        <v>142.110661106055</v>
      </c>
      <c r="R39">
        <f ca="1" t="shared" si="3"/>
        <v>13.9139116992854</v>
      </c>
      <c r="S39">
        <f ca="1" t="shared" si="3"/>
        <v>52.2655479259521</v>
      </c>
      <c r="T39">
        <f ca="1" t="shared" si="3"/>
        <v>120.12018981004</v>
      </c>
      <c r="U39" t="str">
        <f ca="1" t="shared" si="4"/>
        <v>C4</v>
      </c>
      <c r="V39">
        <v>39</v>
      </c>
      <c r="W39" t="str">
        <f ca="1" t="shared" si="5"/>
        <v>C4</v>
      </c>
      <c r="X39">
        <f ca="1" t="shared" si="6"/>
        <v>0</v>
      </c>
    </row>
    <row r="40" spans="1:24">
      <c r="A40" t="s">
        <v>51</v>
      </c>
      <c r="B40">
        <v>4</v>
      </c>
      <c r="C40">
        <v>57</v>
      </c>
      <c r="D40">
        <v>67</v>
      </c>
      <c r="E40">
        <v>13</v>
      </c>
      <c r="O40">
        <f ca="1" t="shared" si="3"/>
        <v>38.8870386861455</v>
      </c>
      <c r="P40">
        <f ca="1" t="shared" si="3"/>
        <v>108.735918628575</v>
      </c>
      <c r="Q40">
        <f ca="1" t="shared" si="3"/>
        <v>188.861960171973</v>
      </c>
      <c r="R40">
        <f ca="1" t="shared" si="3"/>
        <v>38.8333041370945</v>
      </c>
      <c r="S40">
        <f ca="1" t="shared" si="3"/>
        <v>92.5158770157858</v>
      </c>
      <c r="T40">
        <f ca="1" t="shared" si="3"/>
        <v>166.295099146066</v>
      </c>
      <c r="U40" t="str">
        <f ca="1" t="shared" si="4"/>
        <v>C4</v>
      </c>
      <c r="V40">
        <v>40</v>
      </c>
      <c r="W40" t="str">
        <f ca="1" t="shared" si="5"/>
        <v>C4</v>
      </c>
      <c r="X40">
        <f ca="1" t="shared" si="6"/>
        <v>0</v>
      </c>
    </row>
    <row r="41" spans="1:24">
      <c r="A41" t="s">
        <v>52</v>
      </c>
      <c r="B41">
        <v>2</v>
      </c>
      <c r="C41">
        <v>97</v>
      </c>
      <c r="D41">
        <v>83</v>
      </c>
      <c r="E41">
        <v>5</v>
      </c>
      <c r="O41">
        <f ca="1" t="shared" si="3"/>
        <v>82.1217903144132</v>
      </c>
      <c r="P41">
        <f ca="1" t="shared" si="3"/>
        <v>73.0171212798752</v>
      </c>
      <c r="Q41">
        <f ca="1" t="shared" si="3"/>
        <v>153.051755952031</v>
      </c>
      <c r="R41">
        <f ca="1" t="shared" si="3"/>
        <v>27.8367141211247</v>
      </c>
      <c r="S41">
        <f ca="1" t="shared" si="3"/>
        <v>53.1807060878285</v>
      </c>
      <c r="T41">
        <f ca="1" t="shared" si="3"/>
        <v>128.615939914149</v>
      </c>
      <c r="U41" t="str">
        <f ca="1" t="shared" si="4"/>
        <v>C4</v>
      </c>
      <c r="V41">
        <v>41</v>
      </c>
      <c r="W41" t="str">
        <f ca="1" t="shared" si="5"/>
        <v>C4</v>
      </c>
      <c r="X41">
        <f ca="1" t="shared" si="6"/>
        <v>0</v>
      </c>
    </row>
    <row r="42" spans="1:24">
      <c r="A42" t="s">
        <v>53</v>
      </c>
      <c r="B42">
        <v>13</v>
      </c>
      <c r="C42">
        <v>210</v>
      </c>
      <c r="D42">
        <v>46</v>
      </c>
      <c r="E42">
        <v>21</v>
      </c>
      <c r="O42">
        <f ca="1" t="shared" si="3"/>
        <v>190.742763369355</v>
      </c>
      <c r="P42">
        <f ca="1" t="shared" si="3"/>
        <v>51.773545368267</v>
      </c>
      <c r="Q42">
        <f ca="1" t="shared" si="3"/>
        <v>34.5404111150982</v>
      </c>
      <c r="R42">
        <f ca="1" t="shared" si="3"/>
        <v>116.38555296417</v>
      </c>
      <c r="S42">
        <f ca="1" t="shared" si="3"/>
        <v>72.7783449935487</v>
      </c>
      <c r="T42">
        <f ca="1" t="shared" si="3"/>
        <v>27.3031133755841</v>
      </c>
      <c r="U42" t="str">
        <f ca="1" t="shared" si="4"/>
        <v>C6</v>
      </c>
      <c r="V42">
        <v>42</v>
      </c>
      <c r="W42" t="str">
        <f ca="1" t="shared" si="5"/>
        <v>C3</v>
      </c>
      <c r="X42">
        <f ca="1" t="shared" si="6"/>
        <v>1</v>
      </c>
    </row>
    <row r="43" spans="1:24">
      <c r="A43" t="s">
        <v>54</v>
      </c>
      <c r="B43">
        <v>3</v>
      </c>
      <c r="C43">
        <v>1</v>
      </c>
      <c r="D43">
        <v>43</v>
      </c>
      <c r="E43">
        <v>12</v>
      </c>
      <c r="O43">
        <f ca="1" t="shared" si="3"/>
        <v>22.6306969500377</v>
      </c>
      <c r="P43">
        <f ca="1" t="shared" si="3"/>
        <v>166.55179374597</v>
      </c>
      <c r="Q43">
        <f ca="1" t="shared" si="3"/>
        <v>243.858237506958</v>
      </c>
      <c r="R43">
        <f ca="1" t="shared" si="3"/>
        <v>95.1894191084497</v>
      </c>
      <c r="S43">
        <f ca="1" t="shared" si="3"/>
        <v>152.439127195087</v>
      </c>
      <c r="T43">
        <f ca="1" t="shared" si="3"/>
        <v>223.688309931476</v>
      </c>
      <c r="U43" t="str">
        <f ca="1" t="shared" si="4"/>
        <v>C1</v>
      </c>
      <c r="V43">
        <v>43</v>
      </c>
      <c r="W43" t="str">
        <f ca="1" t="shared" si="5"/>
        <v>C1</v>
      </c>
      <c r="X43">
        <f ca="1" t="shared" si="6"/>
        <v>0</v>
      </c>
    </row>
    <row r="44" spans="1:24">
      <c r="A44" t="s">
        <v>55</v>
      </c>
      <c r="B44">
        <v>14</v>
      </c>
      <c r="C44">
        <v>96</v>
      </c>
      <c r="D44">
        <v>58</v>
      </c>
      <c r="E44">
        <v>27</v>
      </c>
      <c r="O44">
        <f ca="1" t="shared" si="3"/>
        <v>78.4711525197494</v>
      </c>
      <c r="P44">
        <f ca="1" t="shared" si="3"/>
        <v>69.5808881805917</v>
      </c>
      <c r="Q44">
        <f ca="1" t="shared" si="3"/>
        <v>148.840988978171</v>
      </c>
      <c r="R44">
        <f ca="1" t="shared" si="3"/>
        <v>11.8211588229906</v>
      </c>
      <c r="S44">
        <f ca="1" t="shared" si="3"/>
        <v>58.3968107005854</v>
      </c>
      <c r="T44">
        <f ca="1" t="shared" si="3"/>
        <v>127.057703426435</v>
      </c>
      <c r="U44" t="str">
        <f ca="1" t="shared" si="4"/>
        <v>C4</v>
      </c>
      <c r="V44">
        <v>44</v>
      </c>
      <c r="W44" t="str">
        <f ca="1" t="shared" si="5"/>
        <v>C4</v>
      </c>
      <c r="X44">
        <f ca="1" t="shared" si="6"/>
        <v>0</v>
      </c>
    </row>
    <row r="45" spans="1:24">
      <c r="A45" t="s">
        <v>56</v>
      </c>
      <c r="B45">
        <v>13</v>
      </c>
      <c r="C45">
        <v>137</v>
      </c>
      <c r="D45">
        <v>79</v>
      </c>
      <c r="E45">
        <v>25</v>
      </c>
      <c r="O45">
        <f ca="1" t="shared" si="3"/>
        <v>120.611339065243</v>
      </c>
      <c r="P45">
        <f ca="1" t="shared" si="3"/>
        <v>29.4023808559783</v>
      </c>
      <c r="Q45">
        <f ca="1" t="shared" si="3"/>
        <v>111.972496623055</v>
      </c>
      <c r="R45">
        <f ca="1" t="shared" si="3"/>
        <v>47.8676427713941</v>
      </c>
      <c r="S45">
        <f ca="1" t="shared" si="3"/>
        <v>13.8451254960004</v>
      </c>
      <c r="T45">
        <f ca="1" t="shared" si="3"/>
        <v>86.2291134130463</v>
      </c>
      <c r="U45" t="str">
        <f ca="1" t="shared" si="4"/>
        <v>C5</v>
      </c>
      <c r="V45">
        <v>45</v>
      </c>
      <c r="W45" t="str">
        <f ca="1" t="shared" si="5"/>
        <v>C5</v>
      </c>
      <c r="X45">
        <f ca="1" t="shared" si="6"/>
        <v>0</v>
      </c>
    </row>
    <row r="46" spans="1:24">
      <c r="A46" t="s">
        <v>57</v>
      </c>
      <c r="B46">
        <v>0</v>
      </c>
      <c r="C46">
        <v>49</v>
      </c>
      <c r="D46">
        <v>74</v>
      </c>
      <c r="E46">
        <v>21</v>
      </c>
      <c r="O46">
        <f ca="1" t="shared" si="3"/>
        <v>35.7920164903354</v>
      </c>
      <c r="P46">
        <f ca="1" t="shared" si="3"/>
        <v>116.230374687514</v>
      </c>
      <c r="Q46">
        <f ca="1" t="shared" si="3"/>
        <v>197.55768777752</v>
      </c>
      <c r="R46">
        <f ca="1" t="shared" si="3"/>
        <v>48.4667464371612</v>
      </c>
      <c r="S46">
        <f ca="1" t="shared" si="3"/>
        <v>99.4519356272164</v>
      </c>
      <c r="T46">
        <f ca="1" t="shared" si="3"/>
        <v>173.978331984187</v>
      </c>
      <c r="U46" t="str">
        <f ca="1" t="shared" si="4"/>
        <v>C1</v>
      </c>
      <c r="V46">
        <v>46</v>
      </c>
      <c r="W46" t="str">
        <f ca="1" t="shared" si="5"/>
        <v>C1</v>
      </c>
      <c r="X46">
        <f ca="1" t="shared" si="6"/>
        <v>0</v>
      </c>
    </row>
    <row r="47" spans="1:24">
      <c r="A47" t="s">
        <v>58</v>
      </c>
      <c r="B47">
        <v>0.1</v>
      </c>
      <c r="C47">
        <v>44</v>
      </c>
      <c r="D47">
        <v>24</v>
      </c>
      <c r="E47">
        <v>8</v>
      </c>
      <c r="O47">
        <f ca="1" t="shared" si="3"/>
        <v>39.5698004936986</v>
      </c>
      <c r="P47">
        <f ca="1" t="shared" si="3"/>
        <v>130.723027810711</v>
      </c>
      <c r="Q47">
        <f ca="1" t="shared" si="3"/>
        <v>202.674936783017</v>
      </c>
      <c r="R47">
        <f ca="1" t="shared" si="3"/>
        <v>62.6503318557264</v>
      </c>
      <c r="S47">
        <f ca="1" t="shared" si="3"/>
        <v>120.290263529514</v>
      </c>
      <c r="T47">
        <f ca="1" t="shared" si="3"/>
        <v>185.399002154812</v>
      </c>
      <c r="U47" t="str">
        <f ca="1" t="shared" si="4"/>
        <v>C1</v>
      </c>
      <c r="V47">
        <v>47</v>
      </c>
      <c r="W47" t="str">
        <f ca="1" t="shared" si="5"/>
        <v>C1</v>
      </c>
      <c r="X47">
        <f ca="1" t="shared" si="6"/>
        <v>0</v>
      </c>
    </row>
    <row r="48" spans="1:24">
      <c r="A48" t="s">
        <v>59</v>
      </c>
      <c r="B48">
        <v>7</v>
      </c>
      <c r="C48">
        <v>100</v>
      </c>
      <c r="D48">
        <v>58</v>
      </c>
      <c r="E48">
        <v>16</v>
      </c>
      <c r="O48">
        <f ca="1" t="shared" si="3"/>
        <v>80.2958806193969</v>
      </c>
      <c r="P48">
        <f ca="1" t="shared" si="3"/>
        <v>66.6745828633371</v>
      </c>
      <c r="Q48">
        <f ca="1" t="shared" si="3"/>
        <v>145.050473973717</v>
      </c>
      <c r="R48">
        <f ca="1" t="shared" si="3"/>
        <v>5.990213106495</v>
      </c>
      <c r="S48">
        <f ca="1" t="shared" si="3"/>
        <v>54.1635255499492</v>
      </c>
      <c r="T48">
        <f ca="1" t="shared" si="3"/>
        <v>123.610921847545</v>
      </c>
      <c r="U48" t="str">
        <f ca="1" t="shared" si="4"/>
        <v>C4</v>
      </c>
      <c r="V48">
        <v>48</v>
      </c>
      <c r="W48" t="str">
        <f ca="1" t="shared" si="5"/>
        <v>C4</v>
      </c>
      <c r="X48">
        <f ca="1" t="shared" si="6"/>
        <v>0</v>
      </c>
    </row>
    <row r="49" spans="1:24">
      <c r="A49" t="s">
        <v>60</v>
      </c>
      <c r="B49">
        <v>1</v>
      </c>
      <c r="C49">
        <v>62</v>
      </c>
      <c r="D49">
        <v>73</v>
      </c>
      <c r="E49">
        <v>24</v>
      </c>
      <c r="O49">
        <f ca="1" t="shared" si="3"/>
        <v>47.2039734674011</v>
      </c>
      <c r="P49">
        <f ca="1" t="shared" si="3"/>
        <v>103.031548566446</v>
      </c>
      <c r="Q49">
        <f ca="1" t="shared" si="3"/>
        <v>184.493468719085</v>
      </c>
      <c r="R49">
        <f ca="1" t="shared" si="3"/>
        <v>36.3085558028655</v>
      </c>
      <c r="S49">
        <f ca="1" t="shared" si="3"/>
        <v>86.6786450055606</v>
      </c>
      <c r="T49">
        <f ca="1" t="shared" si="3"/>
        <v>160.826801249046</v>
      </c>
      <c r="U49" t="str">
        <f ca="1" t="shared" si="4"/>
        <v>C4</v>
      </c>
      <c r="V49">
        <v>49</v>
      </c>
      <c r="W49" t="str">
        <f ca="1" t="shared" si="5"/>
        <v>C4</v>
      </c>
      <c r="X49">
        <f ca="1" t="shared" si="6"/>
        <v>0</v>
      </c>
    </row>
    <row r="50" spans="1:24">
      <c r="A50" t="s">
        <v>61</v>
      </c>
      <c r="B50">
        <v>5</v>
      </c>
      <c r="C50">
        <v>65</v>
      </c>
      <c r="D50">
        <v>34</v>
      </c>
      <c r="E50">
        <v>9</v>
      </c>
      <c r="O50">
        <f ca="1" t="shared" si="3"/>
        <v>49.8960430406171</v>
      </c>
      <c r="P50">
        <f ca="1" t="shared" si="3"/>
        <v>107.454641593558</v>
      </c>
      <c r="Q50">
        <f ca="1" t="shared" si="3"/>
        <v>180.595791756065</v>
      </c>
      <c r="R50">
        <f ca="1" t="shared" si="3"/>
        <v>39.8249357840547</v>
      </c>
      <c r="S50">
        <f ca="1" t="shared" si="3"/>
        <v>96.9494069089646</v>
      </c>
      <c r="T50">
        <f ca="1" t="shared" si="3"/>
        <v>162.518491255611</v>
      </c>
      <c r="U50" t="str">
        <f ca="1" t="shared" si="4"/>
        <v>C4</v>
      </c>
      <c r="V50">
        <v>50</v>
      </c>
      <c r="W50" t="str">
        <f ca="1" t="shared" si="5"/>
        <v>C4</v>
      </c>
      <c r="X50">
        <f ca="1" t="shared" si="6"/>
        <v>0</v>
      </c>
    </row>
    <row r="51" spans="1:24">
      <c r="A51" t="s">
        <v>62</v>
      </c>
      <c r="B51">
        <v>0</v>
      </c>
      <c r="C51">
        <v>0.1</v>
      </c>
      <c r="D51">
        <v>60</v>
      </c>
      <c r="E51">
        <v>11</v>
      </c>
      <c r="O51">
        <f ca="1" t="shared" si="3"/>
        <v>20.5982145936109</v>
      </c>
      <c r="P51">
        <f ca="1" t="shared" si="3"/>
        <v>165.851168220185</v>
      </c>
      <c r="Q51">
        <f ca="1" t="shared" si="3"/>
        <v>245.213315299149</v>
      </c>
      <c r="R51">
        <f ca="1" t="shared" si="3"/>
        <v>94.9600281106504</v>
      </c>
      <c r="S51">
        <f ca="1" t="shared" si="3"/>
        <v>149.915467847717</v>
      </c>
      <c r="T51">
        <f ca="1" t="shared" si="3"/>
        <v>223.439410131695</v>
      </c>
      <c r="U51" t="str">
        <f ca="1" t="shared" si="4"/>
        <v>C1</v>
      </c>
      <c r="V51">
        <v>51</v>
      </c>
      <c r="W51" t="str">
        <f ca="1" t="shared" si="5"/>
        <v>C1</v>
      </c>
      <c r="X51">
        <f ca="1" t="shared" si="6"/>
        <v>0</v>
      </c>
    </row>
    <row r="52" spans="1:24">
      <c r="A52" t="s">
        <v>63</v>
      </c>
      <c r="B52">
        <v>6</v>
      </c>
      <c r="C52">
        <v>143</v>
      </c>
      <c r="D52">
        <v>51</v>
      </c>
      <c r="E52">
        <v>11</v>
      </c>
      <c r="O52">
        <f ca="1" t="shared" si="3"/>
        <v>123.116591534655</v>
      </c>
      <c r="P52">
        <f ca="1" t="shared" si="3"/>
        <v>33.3091578998929</v>
      </c>
      <c r="Q52">
        <f ca="1" t="shared" si="3"/>
        <v>102.372066502538</v>
      </c>
      <c r="R52">
        <f ca="1" t="shared" si="3"/>
        <v>49.613043462709</v>
      </c>
      <c r="S52">
        <f ca="1" t="shared" si="3"/>
        <v>33.8406190841716</v>
      </c>
      <c r="T52">
        <f ca="1" t="shared" si="3"/>
        <v>83.3550238437972</v>
      </c>
      <c r="U52" t="str">
        <f ca="1" t="shared" si="4"/>
        <v>C2</v>
      </c>
      <c r="V52">
        <v>52</v>
      </c>
      <c r="W52" t="str">
        <f ca="1" t="shared" si="5"/>
        <v>C4</v>
      </c>
      <c r="X52">
        <f ca="1" t="shared" si="6"/>
        <v>1</v>
      </c>
    </row>
  </sheetData>
  <mergeCells count="2">
    <mergeCell ref="G1:K1"/>
    <mergeCell ref="O1:R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workbookViewId="0">
      <selection activeCell="I35" sqref="I35"/>
    </sheetView>
  </sheetViews>
  <sheetFormatPr defaultColWidth="9" defaultRowHeight="15"/>
  <cols>
    <col min="23" max="23" width="10.5714285714286" customWidth="1"/>
  </cols>
  <sheetData>
    <row r="1" spans="6:22">
      <c r="F1">
        <f ca="1">_xlfn.SHEET(A1)-1</f>
        <v>2</v>
      </c>
      <c r="G1" s="7" t="s">
        <v>0</v>
      </c>
      <c r="H1" s="7"/>
      <c r="I1" s="7"/>
      <c r="J1" s="7"/>
      <c r="K1" s="7"/>
      <c r="L1" s="7"/>
      <c r="M1" s="7"/>
      <c r="O1" s="7" t="s">
        <v>1</v>
      </c>
      <c r="P1" s="7"/>
      <c r="Q1" s="7"/>
      <c r="R1" s="7"/>
      <c r="V1">
        <v>1</v>
      </c>
    </row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7</v>
      </c>
      <c r="V2">
        <v>2</v>
      </c>
      <c r="W2" t="s">
        <v>64</v>
      </c>
      <c r="X2" t="s">
        <v>65</v>
      </c>
    </row>
    <row r="3" spans="1:24">
      <c r="A3" t="s">
        <v>14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M3" si="0">IFERROR(AVERAGEIFS(INDIRECT($F$1&amp;"!"&amp;ADDRESS(3,$F3,1)):INDIRECT($F$1&amp;"!"&amp;ADDRESS(52,$F3,1)),INDIRECT($F$1&amp;"!$U$3"):INDIRECT($F$1&amp;"!$U$52"),H$2),0)</f>
        <v>1.88</v>
      </c>
      <c r="I3">
        <f ca="1" t="shared" si="0"/>
        <v>10.1666666666667</v>
      </c>
      <c r="J3">
        <f ca="1" t="shared" si="0"/>
        <v>11.2</v>
      </c>
      <c r="K3">
        <f ca="1" t="shared" si="0"/>
        <v>5.58333333333333</v>
      </c>
      <c r="L3">
        <f ca="1" t="shared" si="0"/>
        <v>7.25</v>
      </c>
      <c r="M3">
        <f ca="1" t="shared" si="0"/>
        <v>9.5</v>
      </c>
      <c r="O3">
        <f ca="1">SQRT(SUMXMY2($B3:$E3,H$3:H$6))</f>
        <v>173.564018288482</v>
      </c>
      <c r="P3">
        <f ca="1" t="shared" ref="P3:T18" si="1">SQRT(SUMXMY2($B3:$E3,I$3:I$6))</f>
        <v>30.6861351246599</v>
      </c>
      <c r="Q3">
        <f ca="1" t="shared" si="1"/>
        <v>70.4627561198113</v>
      </c>
      <c r="R3">
        <f ca="1" t="shared" si="1"/>
        <v>106.546644714885</v>
      </c>
      <c r="S3">
        <f ca="1" t="shared" si="1"/>
        <v>55.7780198644592</v>
      </c>
      <c r="T3">
        <f ca="1" t="shared" si="1"/>
        <v>32.4058733102504</v>
      </c>
      <c r="U3" t="str">
        <f ca="1">INDEX($O$2:$T$2,1,MATCH(MIN(O3:T3),O3:T3,0))</f>
        <v>C2</v>
      </c>
      <c r="V3">
        <v>3</v>
      </c>
      <c r="W3" t="str">
        <f ca="1">INDIRECT($F$1&amp;"!U"&amp;V3)</f>
        <v>C2</v>
      </c>
      <c r="X3">
        <f ca="1">IF(U3=W3,0,1)</f>
        <v>0</v>
      </c>
    </row>
    <row r="4" spans="1:24">
      <c r="A4" t="s">
        <v>15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M4" si="2">IFERROR(AVERAGEIFS(INDIRECT($F$1&amp;"!"&amp;ADDRESS(3,$F4,1)):INDIRECT($F$1&amp;"!"&amp;ADDRESS(52,$F4,1)),INDIRECT($F$1&amp;"!$U$3"):INDIRECT($F$1&amp;"!$U$52"),H$2),0)</f>
        <v>20.0266666666667</v>
      </c>
      <c r="I4">
        <f ca="1" t="shared" si="2"/>
        <v>163</v>
      </c>
      <c r="J4">
        <f ca="1" t="shared" si="2"/>
        <v>262.6</v>
      </c>
      <c r="K4">
        <f ca="1" t="shared" si="2"/>
        <v>87.0833333333333</v>
      </c>
      <c r="L4">
        <f ca="1" t="shared" si="2"/>
        <v>147.75</v>
      </c>
      <c r="M4">
        <f ca="1" t="shared" si="2"/>
        <v>220.5</v>
      </c>
      <c r="O4">
        <f ca="1" t="shared" ref="O4:T52" si="3">SQRT(SUMXMY2($B4:$E4,H$3:H$6))</f>
        <v>204.983906143331</v>
      </c>
      <c r="P4">
        <f ca="1" t="shared" si="1"/>
        <v>65.0587341476061</v>
      </c>
      <c r="Q4">
        <f ca="1" t="shared" si="1"/>
        <v>46.480103270109</v>
      </c>
      <c r="R4">
        <f ca="1" t="shared" si="1"/>
        <v>138.657326408188</v>
      </c>
      <c r="S4">
        <f ca="1" t="shared" si="1"/>
        <v>89.2086739056242</v>
      </c>
      <c r="T4">
        <f ca="1" t="shared" si="1"/>
        <v>31.9826613182831</v>
      </c>
      <c r="U4" t="str">
        <f ca="1" t="shared" ref="U4:U52" si="4">INDEX($O$2:$T$2,1,MATCH(MIN(O4:T4),O4:T4,0))</f>
        <v>C6</v>
      </c>
      <c r="V4">
        <v>4</v>
      </c>
      <c r="W4" t="str">
        <f ca="1" t="shared" ref="W4:W52" si="5">INDIRECT($F$1&amp;"!U"&amp;V4)</f>
        <v>C3</v>
      </c>
      <c r="X4">
        <f ca="1" t="shared" ref="X4:X52" si="6">IF(U4=W4,0,1)</f>
        <v>1</v>
      </c>
    </row>
    <row r="5" spans="1:24">
      <c r="A5" t="s">
        <v>16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M5" si="7">IFERROR(AVERAGEIFS(INDIRECT($F$1&amp;"!"&amp;ADDRESS(3,$F5,1)):INDIRECT($F$1&amp;"!"&amp;ADDRESS(52,$F5,1)),INDIRECT($F$1&amp;"!$U$3"):INDIRECT($F$1&amp;"!$U$52"),H$2),0)</f>
        <v>55.2</v>
      </c>
      <c r="I5">
        <f ca="1" t="shared" si="7"/>
        <v>57.1666666666667</v>
      </c>
      <c r="J5">
        <f ca="1" t="shared" si="7"/>
        <v>57.8</v>
      </c>
      <c r="K5">
        <f ca="1" t="shared" si="7"/>
        <v>60.25</v>
      </c>
      <c r="L5">
        <f ca="1" t="shared" si="7"/>
        <v>83.25</v>
      </c>
      <c r="M5">
        <f ca="1" t="shared" si="7"/>
        <v>67</v>
      </c>
      <c r="O5">
        <f ca="1" t="shared" si="3"/>
        <v>207.498116725055</v>
      </c>
      <c r="P5">
        <f ca="1" t="shared" si="1"/>
        <v>65.4113055128002</v>
      </c>
      <c r="Q5">
        <f ca="1" t="shared" si="1"/>
        <v>39.6030301870956</v>
      </c>
      <c r="R5">
        <f ca="1" t="shared" si="1"/>
        <v>139.900634380263</v>
      </c>
      <c r="S5">
        <f ca="1" t="shared" si="1"/>
        <v>79.694337941914</v>
      </c>
      <c r="T5">
        <f ca="1" t="shared" si="1"/>
        <v>8.88203946174526</v>
      </c>
      <c r="U5" t="str">
        <f ca="1" t="shared" si="4"/>
        <v>C6</v>
      </c>
      <c r="V5">
        <v>5</v>
      </c>
      <c r="W5" t="str">
        <f ca="1" t="shared" si="5"/>
        <v>C6</v>
      </c>
      <c r="X5">
        <f ca="1" t="shared" si="6"/>
        <v>0</v>
      </c>
    </row>
    <row r="6" spans="1:24">
      <c r="A6" t="s">
        <v>17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M6" si="8">IFERROR(AVERAGEIFS(INDIRECT($F$1&amp;"!"&amp;ADDRESS(3,$F6,1)):INDIRECT($F$1&amp;"!"&amp;ADDRESS(52,$F6,1)),INDIRECT($F$1&amp;"!$U$3"):INDIRECT($F$1&amp;"!$U$52"),H$2),0)</f>
        <v>11.8</v>
      </c>
      <c r="I6">
        <f ca="1" t="shared" si="8"/>
        <v>21.5</v>
      </c>
      <c r="J6">
        <f ca="1" t="shared" si="8"/>
        <v>29.6</v>
      </c>
      <c r="K6">
        <f ca="1" t="shared" si="8"/>
        <v>18.3333333333333</v>
      </c>
      <c r="L6">
        <f ca="1" t="shared" si="8"/>
        <v>20</v>
      </c>
      <c r="M6">
        <f ca="1" t="shared" si="8"/>
        <v>26.625</v>
      </c>
      <c r="O6">
        <f ca="1" t="shared" si="3"/>
        <v>157.264623414733</v>
      </c>
      <c r="P6">
        <f ca="1" t="shared" si="1"/>
        <v>16.5016834158081</v>
      </c>
      <c r="Q6">
        <f ca="1" t="shared" si="1"/>
        <v>86.9321574562601</v>
      </c>
      <c r="R6">
        <f ca="1" t="shared" si="1"/>
        <v>90.5410818358164</v>
      </c>
      <c r="S6">
        <f ca="1" t="shared" si="1"/>
        <v>44.3924261558208</v>
      </c>
      <c r="T6">
        <f ca="1" t="shared" si="1"/>
        <v>47.7089155714108</v>
      </c>
      <c r="U6" t="str">
        <f ca="1" t="shared" si="4"/>
        <v>C2</v>
      </c>
      <c r="V6">
        <v>6</v>
      </c>
      <c r="W6" t="str">
        <f ca="1" t="shared" si="5"/>
        <v>C2</v>
      </c>
      <c r="X6">
        <f ca="1" t="shared" si="6"/>
        <v>0</v>
      </c>
    </row>
    <row r="7" spans="1:24">
      <c r="A7" t="s">
        <v>18</v>
      </c>
      <c r="B7">
        <v>7</v>
      </c>
      <c r="C7">
        <v>235</v>
      </c>
      <c r="D7">
        <v>86</v>
      </c>
      <c r="E7">
        <v>39</v>
      </c>
      <c r="O7">
        <f ca="1" t="shared" si="3"/>
        <v>218.925166311332</v>
      </c>
      <c r="P7">
        <f ca="1" t="shared" si="1"/>
        <v>79.5715959930985</v>
      </c>
      <c r="Q7">
        <f ca="1" t="shared" si="1"/>
        <v>40.7798970082074</v>
      </c>
      <c r="R7">
        <f ca="1" t="shared" si="1"/>
        <v>151.563586765863</v>
      </c>
      <c r="S7">
        <f ca="1" t="shared" si="1"/>
        <v>89.3374921295645</v>
      </c>
      <c r="T7">
        <f ca="1" t="shared" si="1"/>
        <v>27.0303648699014</v>
      </c>
      <c r="U7" t="str">
        <f ca="1" t="shared" si="4"/>
        <v>C6</v>
      </c>
      <c r="V7">
        <v>7</v>
      </c>
      <c r="W7" t="str">
        <f ca="1" t="shared" si="5"/>
        <v>C6</v>
      </c>
      <c r="X7">
        <f ca="1" t="shared" si="6"/>
        <v>0</v>
      </c>
    </row>
    <row r="8" spans="1:24">
      <c r="A8" t="s">
        <v>19</v>
      </c>
      <c r="B8">
        <v>5</v>
      </c>
      <c r="C8">
        <v>170</v>
      </c>
      <c r="D8">
        <v>78</v>
      </c>
      <c r="E8">
        <v>37</v>
      </c>
      <c r="O8">
        <f ca="1" t="shared" si="3"/>
        <v>153.807071069932</v>
      </c>
      <c r="P8">
        <f ca="1" t="shared" si="1"/>
        <v>27.3856207200462</v>
      </c>
      <c r="Q8">
        <f ca="1" t="shared" si="1"/>
        <v>95.2680429105165</v>
      </c>
      <c r="R8">
        <f ca="1" t="shared" si="1"/>
        <v>86.8275349951462</v>
      </c>
      <c r="S8">
        <f ca="1" t="shared" si="1"/>
        <v>28.577744837548</v>
      </c>
      <c r="T8">
        <f ca="1" t="shared" si="1"/>
        <v>52.9069052676491</v>
      </c>
      <c r="U8" t="str">
        <f ca="1" t="shared" si="4"/>
        <v>C2</v>
      </c>
      <c r="V8">
        <v>8</v>
      </c>
      <c r="W8" t="str">
        <f ca="1" t="shared" si="5"/>
        <v>C2</v>
      </c>
      <c r="X8">
        <f ca="1" t="shared" si="6"/>
        <v>0</v>
      </c>
    </row>
    <row r="9" spans="1:24">
      <c r="A9" t="s">
        <v>20</v>
      </c>
      <c r="B9">
        <v>0</v>
      </c>
      <c r="C9">
        <v>35</v>
      </c>
      <c r="D9">
        <v>75</v>
      </c>
      <c r="E9">
        <v>7</v>
      </c>
      <c r="O9">
        <f ca="1" t="shared" si="3"/>
        <v>25.3537987510967</v>
      </c>
      <c r="P9">
        <f ca="1" t="shared" si="1"/>
        <v>130.444006718932</v>
      </c>
      <c r="Q9">
        <f ca="1" t="shared" si="1"/>
        <v>229.638411421086</v>
      </c>
      <c r="R9">
        <f ca="1" t="shared" si="1"/>
        <v>55.5864566838602</v>
      </c>
      <c r="S9">
        <f ca="1" t="shared" si="1"/>
        <v>114.02713492849</v>
      </c>
      <c r="T9">
        <f ca="1" t="shared" si="1"/>
        <v>186.948229799054</v>
      </c>
      <c r="U9" t="str">
        <f ca="1" t="shared" si="4"/>
        <v>C1</v>
      </c>
      <c r="V9">
        <v>9</v>
      </c>
      <c r="W9" t="str">
        <f ca="1" t="shared" si="5"/>
        <v>C1</v>
      </c>
      <c r="X9">
        <f ca="1" t="shared" si="6"/>
        <v>0</v>
      </c>
    </row>
    <row r="10" spans="1:24">
      <c r="A10" t="s">
        <v>21</v>
      </c>
      <c r="B10">
        <v>4</v>
      </c>
      <c r="C10">
        <v>198</v>
      </c>
      <c r="D10">
        <v>70</v>
      </c>
      <c r="E10">
        <v>15</v>
      </c>
      <c r="G10" t="s">
        <v>66</v>
      </c>
      <c r="I10" s="8">
        <f ca="1">SUM(X3:X52)</f>
        <v>2</v>
      </c>
      <c r="O10">
        <f ca="1" t="shared" si="3"/>
        <v>178.628894017115</v>
      </c>
      <c r="P10">
        <f ca="1" t="shared" si="1"/>
        <v>38.3402167732816</v>
      </c>
      <c r="Q10">
        <f ca="1" t="shared" si="1"/>
        <v>67.7273947527882</v>
      </c>
      <c r="R10">
        <f ca="1" t="shared" si="1"/>
        <v>111.405509289263</v>
      </c>
      <c r="S10">
        <f ca="1" t="shared" si="1"/>
        <v>52.3085796022029</v>
      </c>
      <c r="T10">
        <f ca="1" t="shared" si="1"/>
        <v>26.0890901527823</v>
      </c>
      <c r="U10" t="str">
        <f ca="1" t="shared" si="4"/>
        <v>C6</v>
      </c>
      <c r="V10">
        <v>10</v>
      </c>
      <c r="W10" t="str">
        <f ca="1" t="shared" si="5"/>
        <v>C6</v>
      </c>
      <c r="X10">
        <f ca="1" t="shared" si="6"/>
        <v>0</v>
      </c>
    </row>
    <row r="11" spans="1:24">
      <c r="A11" t="s">
        <v>22</v>
      </c>
      <c r="B11">
        <v>13</v>
      </c>
      <c r="C11">
        <v>259</v>
      </c>
      <c r="D11">
        <v>74</v>
      </c>
      <c r="E11">
        <v>30</v>
      </c>
      <c r="O11">
        <f ca="1" t="shared" si="3"/>
        <v>240.658655452997</v>
      </c>
      <c r="P11">
        <f ca="1" t="shared" si="1"/>
        <v>97.8756296985562</v>
      </c>
      <c r="Q11">
        <f ca="1" t="shared" si="1"/>
        <v>16.6973051717934</v>
      </c>
      <c r="R11">
        <f ca="1" t="shared" si="1"/>
        <v>173.018845312681</v>
      </c>
      <c r="S11">
        <f ca="1" t="shared" si="1"/>
        <v>112.228282977153</v>
      </c>
      <c r="T11">
        <f ca="1" t="shared" si="1"/>
        <v>39.432101453004</v>
      </c>
      <c r="U11" t="str">
        <f ca="1" t="shared" si="4"/>
        <v>C3</v>
      </c>
      <c r="V11">
        <v>11</v>
      </c>
      <c r="W11" t="str">
        <f ca="1" t="shared" si="5"/>
        <v>C3</v>
      </c>
      <c r="X11">
        <f ca="1" t="shared" si="6"/>
        <v>0</v>
      </c>
    </row>
    <row r="12" spans="1:24">
      <c r="A12" t="s">
        <v>23</v>
      </c>
      <c r="B12">
        <v>15</v>
      </c>
      <c r="C12">
        <v>136</v>
      </c>
      <c r="D12">
        <v>52</v>
      </c>
      <c r="E12">
        <v>24</v>
      </c>
      <c r="O12">
        <f ca="1" t="shared" si="3"/>
        <v>117.392625170598</v>
      </c>
      <c r="P12">
        <f ca="1" t="shared" si="1"/>
        <v>28.0233037944414</v>
      </c>
      <c r="Q12">
        <f ca="1" t="shared" si="1"/>
        <v>126.913356271119</v>
      </c>
      <c r="R12">
        <f ca="1" t="shared" si="1"/>
        <v>50.8103089933529</v>
      </c>
      <c r="S12">
        <f ca="1" t="shared" si="1"/>
        <v>34.5063399971657</v>
      </c>
      <c r="T12">
        <f ca="1" t="shared" si="1"/>
        <v>86.0371467739371</v>
      </c>
      <c r="U12" t="str">
        <f ca="1" t="shared" si="4"/>
        <v>C2</v>
      </c>
      <c r="V12">
        <v>12</v>
      </c>
      <c r="W12" t="str">
        <f ca="1" t="shared" si="5"/>
        <v>C2</v>
      </c>
      <c r="X12">
        <f ca="1" t="shared" si="6"/>
        <v>0</v>
      </c>
    </row>
    <row r="13" spans="1:24">
      <c r="A13" t="s">
        <v>24</v>
      </c>
      <c r="B13">
        <v>5</v>
      </c>
      <c r="C13">
        <v>32</v>
      </c>
      <c r="D13">
        <v>82</v>
      </c>
      <c r="E13">
        <v>17</v>
      </c>
      <c r="O13">
        <f ca="1" t="shared" si="3"/>
        <v>29.9729062840278</v>
      </c>
      <c r="P13">
        <f ca="1" t="shared" si="1"/>
        <v>133.508946849598</v>
      </c>
      <c r="Q13">
        <f ca="1" t="shared" si="1"/>
        <v>232.291196561557</v>
      </c>
      <c r="R13">
        <f ca="1" t="shared" si="1"/>
        <v>59.2398022166403</v>
      </c>
      <c r="S13">
        <f ca="1" t="shared" si="1"/>
        <v>115.817474933621</v>
      </c>
      <c r="T13">
        <f ca="1" t="shared" si="1"/>
        <v>189.394140946862</v>
      </c>
      <c r="U13" t="str">
        <f ca="1" t="shared" si="4"/>
        <v>C1</v>
      </c>
      <c r="V13">
        <v>13</v>
      </c>
      <c r="W13" t="str">
        <f ca="1" t="shared" si="5"/>
        <v>C1</v>
      </c>
      <c r="X13">
        <f ca="1" t="shared" si="6"/>
        <v>0</v>
      </c>
    </row>
    <row r="14" spans="1:24">
      <c r="A14" t="s">
        <v>25</v>
      </c>
      <c r="B14">
        <v>0</v>
      </c>
      <c r="C14">
        <v>54</v>
      </c>
      <c r="D14">
        <v>47</v>
      </c>
      <c r="E14">
        <v>12</v>
      </c>
      <c r="O14">
        <f ca="1" t="shared" si="3"/>
        <v>35.0000253968162</v>
      </c>
      <c r="P14">
        <f ca="1" t="shared" si="1"/>
        <v>110.353850056182</v>
      </c>
      <c r="Q14">
        <f ca="1" t="shared" si="1"/>
        <v>209.918555635275</v>
      </c>
      <c r="R14">
        <f ca="1" t="shared" si="1"/>
        <v>36.6245022719308</v>
      </c>
      <c r="S14">
        <f ca="1" t="shared" si="1"/>
        <v>101.092470045993</v>
      </c>
      <c r="T14">
        <f ca="1" t="shared" si="1"/>
        <v>168.601277056255</v>
      </c>
      <c r="U14" t="str">
        <f ca="1" t="shared" si="4"/>
        <v>C1</v>
      </c>
      <c r="V14">
        <v>14</v>
      </c>
      <c r="W14" t="str">
        <f ca="1" t="shared" si="5"/>
        <v>C1</v>
      </c>
      <c r="X14">
        <f ca="1" t="shared" si="6"/>
        <v>0</v>
      </c>
    </row>
    <row r="15" spans="1:24">
      <c r="A15" t="s">
        <v>26</v>
      </c>
      <c r="B15">
        <v>10</v>
      </c>
      <c r="C15">
        <v>218</v>
      </c>
      <c r="D15">
        <v>79</v>
      </c>
      <c r="E15">
        <v>20</v>
      </c>
      <c r="O15">
        <f ca="1" t="shared" si="3"/>
        <v>199.732458832086</v>
      </c>
      <c r="P15">
        <f ca="1" t="shared" si="1"/>
        <v>59.1943597162958</v>
      </c>
      <c r="Q15">
        <f ca="1" t="shared" si="1"/>
        <v>50.3209697839778</v>
      </c>
      <c r="R15">
        <f ca="1" t="shared" si="1"/>
        <v>132.33677052631</v>
      </c>
      <c r="S15">
        <f ca="1" t="shared" si="1"/>
        <v>70.432148199526</v>
      </c>
      <c r="T15">
        <f ca="1" t="shared" si="1"/>
        <v>13.9424038458223</v>
      </c>
      <c r="U15" t="str">
        <f ca="1" t="shared" si="4"/>
        <v>C6</v>
      </c>
      <c r="V15">
        <v>15</v>
      </c>
      <c r="W15" t="str">
        <f ca="1" t="shared" si="5"/>
        <v>C6</v>
      </c>
      <c r="X15">
        <f ca="1" t="shared" si="6"/>
        <v>0</v>
      </c>
    </row>
    <row r="16" spans="1:24">
      <c r="A16" t="s">
        <v>27</v>
      </c>
      <c r="B16">
        <v>7</v>
      </c>
      <c r="C16">
        <v>26</v>
      </c>
      <c r="D16">
        <v>65</v>
      </c>
      <c r="E16">
        <v>19</v>
      </c>
      <c r="O16">
        <f ca="1" t="shared" si="3"/>
        <v>14.4836152638459</v>
      </c>
      <c r="P16">
        <f ca="1" t="shared" si="1"/>
        <v>137.283061187056</v>
      </c>
      <c r="Q16">
        <f ca="1" t="shared" si="1"/>
        <v>236.983965702323</v>
      </c>
      <c r="R16">
        <f ca="1" t="shared" si="1"/>
        <v>61.2877434729</v>
      </c>
      <c r="S16">
        <f ca="1" t="shared" si="1"/>
        <v>123.114530011693</v>
      </c>
      <c r="T16">
        <f ca="1" t="shared" si="1"/>
        <v>194.675731987837</v>
      </c>
      <c r="U16" t="str">
        <f ca="1" t="shared" si="4"/>
        <v>C1</v>
      </c>
      <c r="V16">
        <v>16</v>
      </c>
      <c r="W16" t="str">
        <f ca="1" t="shared" si="5"/>
        <v>C1</v>
      </c>
      <c r="X16">
        <f ca="1" t="shared" si="6"/>
        <v>0</v>
      </c>
    </row>
    <row r="17" spans="1:24">
      <c r="A17" t="s">
        <v>28</v>
      </c>
      <c r="B17">
        <v>2</v>
      </c>
      <c r="C17">
        <v>0.1</v>
      </c>
      <c r="D17">
        <v>53</v>
      </c>
      <c r="E17">
        <v>9</v>
      </c>
      <c r="O17">
        <f ca="1" t="shared" si="3"/>
        <v>20.2426886663912</v>
      </c>
      <c r="P17">
        <f ca="1" t="shared" si="1"/>
        <v>163.635923792899</v>
      </c>
      <c r="Q17">
        <f ca="1" t="shared" si="1"/>
        <v>263.511460851326</v>
      </c>
      <c r="R17">
        <f ca="1" t="shared" si="1"/>
        <v>87.8556439090094</v>
      </c>
      <c r="S17">
        <f ca="1" t="shared" si="1"/>
        <v>151.208953107943</v>
      </c>
      <c r="T17">
        <f ca="1" t="shared" si="1"/>
        <v>221.67329704996</v>
      </c>
      <c r="U17" t="str">
        <f ca="1" t="shared" si="4"/>
        <v>C1</v>
      </c>
      <c r="V17">
        <v>17</v>
      </c>
      <c r="W17" t="str">
        <f ca="1" t="shared" si="5"/>
        <v>C1</v>
      </c>
      <c r="X17">
        <f ca="1" t="shared" si="6"/>
        <v>0</v>
      </c>
    </row>
    <row r="18" spans="1:24">
      <c r="A18" t="s">
        <v>29</v>
      </c>
      <c r="B18">
        <v>3</v>
      </c>
      <c r="C18">
        <v>80</v>
      </c>
      <c r="D18">
        <v>56</v>
      </c>
      <c r="E18">
        <v>16</v>
      </c>
      <c r="O18">
        <f ca="1" t="shared" si="3"/>
        <v>60.1359718563782</v>
      </c>
      <c r="P18">
        <f ca="1" t="shared" si="1"/>
        <v>83.4983366434459</v>
      </c>
      <c r="Q18">
        <f ca="1" t="shared" si="1"/>
        <v>183.298117829944</v>
      </c>
      <c r="R18">
        <f ca="1" t="shared" si="1"/>
        <v>8.96404856449733</v>
      </c>
      <c r="S18">
        <f ca="1" t="shared" si="1"/>
        <v>73.2576787784052</v>
      </c>
      <c r="T18">
        <f ca="1" t="shared" si="1"/>
        <v>141.47929397972</v>
      </c>
      <c r="U18" t="str">
        <f ca="1" t="shared" si="4"/>
        <v>C4</v>
      </c>
      <c r="V18">
        <v>18</v>
      </c>
      <c r="W18" t="str">
        <f ca="1" t="shared" si="5"/>
        <v>C4</v>
      </c>
      <c r="X18">
        <f ca="1" t="shared" si="6"/>
        <v>0</v>
      </c>
    </row>
    <row r="19" spans="1:24">
      <c r="A19" t="s">
        <v>30</v>
      </c>
      <c r="B19">
        <v>7</v>
      </c>
      <c r="C19">
        <v>70</v>
      </c>
      <c r="D19">
        <v>43</v>
      </c>
      <c r="E19">
        <v>15</v>
      </c>
      <c r="O19">
        <f ca="1" t="shared" si="3"/>
        <v>51.7940966177077</v>
      </c>
      <c r="P19">
        <f ca="1" t="shared" si="3"/>
        <v>94.350263498425</v>
      </c>
      <c r="Q19">
        <f ca="1" t="shared" si="3"/>
        <v>193.764289795617</v>
      </c>
      <c r="R19">
        <f ca="1" t="shared" si="3"/>
        <v>24.5462997890381</v>
      </c>
      <c r="S19">
        <f ca="1" t="shared" si="3"/>
        <v>87.6937141418927</v>
      </c>
      <c r="T19">
        <f ca="1" t="shared" si="3"/>
        <v>152.86477888971</v>
      </c>
      <c r="U19" t="str">
        <f ca="1" t="shared" si="4"/>
        <v>C4</v>
      </c>
      <c r="V19">
        <v>19</v>
      </c>
      <c r="W19" t="str">
        <f ca="1" t="shared" si="5"/>
        <v>C4</v>
      </c>
      <c r="X19">
        <f ca="1" t="shared" si="6"/>
        <v>0</v>
      </c>
    </row>
    <row r="20" spans="1:24">
      <c r="A20" t="s">
        <v>31</v>
      </c>
      <c r="B20">
        <v>15</v>
      </c>
      <c r="C20">
        <v>159</v>
      </c>
      <c r="D20">
        <v>61</v>
      </c>
      <c r="E20">
        <v>19</v>
      </c>
      <c r="O20">
        <f ca="1" t="shared" si="3"/>
        <v>139.897111398977</v>
      </c>
      <c r="P20">
        <f ca="1" t="shared" si="3"/>
        <v>7.76566517148116</v>
      </c>
      <c r="Q20">
        <f ca="1" t="shared" si="3"/>
        <v>104.259292151827</v>
      </c>
      <c r="R20">
        <f ca="1" t="shared" si="3"/>
        <v>72.5374903067373</v>
      </c>
      <c r="S20">
        <f ca="1" t="shared" si="3"/>
        <v>26.1282892666168</v>
      </c>
      <c r="T20">
        <f ca="1" t="shared" si="3"/>
        <v>62.5031249218789</v>
      </c>
      <c r="U20" t="str">
        <f ca="1" t="shared" si="4"/>
        <v>C2</v>
      </c>
      <c r="V20">
        <v>20</v>
      </c>
      <c r="W20" t="str">
        <f ca="1" t="shared" si="5"/>
        <v>C2</v>
      </c>
      <c r="X20">
        <f ca="1" t="shared" si="6"/>
        <v>0</v>
      </c>
    </row>
    <row r="21" spans="1:24">
      <c r="A21" t="s">
        <v>32</v>
      </c>
      <c r="B21">
        <v>1</v>
      </c>
      <c r="C21">
        <v>0.1</v>
      </c>
      <c r="D21">
        <v>45</v>
      </c>
      <c r="E21">
        <v>7</v>
      </c>
      <c r="O21">
        <f ca="1" t="shared" si="3"/>
        <v>22.911273304739</v>
      </c>
      <c r="P21">
        <f ca="1" t="shared" si="3"/>
        <v>164.251987980528</v>
      </c>
      <c r="Q21">
        <f ca="1" t="shared" si="3"/>
        <v>263.978957494721</v>
      </c>
      <c r="R21">
        <f ca="1" t="shared" si="3"/>
        <v>89.1521966452127</v>
      </c>
      <c r="S21">
        <f ca="1" t="shared" si="3"/>
        <v>153.204593599539</v>
      </c>
      <c r="T21">
        <f ca="1" t="shared" si="3"/>
        <v>222.525393213898</v>
      </c>
      <c r="U21" t="str">
        <f ca="1" t="shared" si="4"/>
        <v>C1</v>
      </c>
      <c r="V21">
        <v>21</v>
      </c>
      <c r="W21" t="str">
        <f ca="1" t="shared" si="5"/>
        <v>C1</v>
      </c>
      <c r="X21">
        <f ca="1" t="shared" si="6"/>
        <v>0</v>
      </c>
    </row>
    <row r="22" spans="1:24">
      <c r="A22" t="s">
        <v>33</v>
      </c>
      <c r="B22">
        <v>10</v>
      </c>
      <c r="C22">
        <v>260</v>
      </c>
      <c r="D22">
        <v>63</v>
      </c>
      <c r="E22">
        <v>28</v>
      </c>
      <c r="O22">
        <f ca="1" t="shared" si="3"/>
        <v>240.782921136677</v>
      </c>
      <c r="P22">
        <f ca="1" t="shared" si="3"/>
        <v>97.3925333665551</v>
      </c>
      <c r="Q22">
        <f ca="1" t="shared" si="3"/>
        <v>6.14817045957577</v>
      </c>
      <c r="R22">
        <f ca="1" t="shared" si="3"/>
        <v>173.264790133483</v>
      </c>
      <c r="S22">
        <f ca="1" t="shared" si="3"/>
        <v>114.375204917849</v>
      </c>
      <c r="T22">
        <f ca="1" t="shared" si="3"/>
        <v>39.7289645598775</v>
      </c>
      <c r="U22" t="str">
        <f ca="1" t="shared" si="4"/>
        <v>C3</v>
      </c>
      <c r="V22">
        <v>22</v>
      </c>
      <c r="W22" t="str">
        <f ca="1" t="shared" si="5"/>
        <v>C3</v>
      </c>
      <c r="X22">
        <f ca="1" t="shared" si="6"/>
        <v>0</v>
      </c>
    </row>
    <row r="23" spans="1:24">
      <c r="A23" t="s">
        <v>34</v>
      </c>
      <c r="B23">
        <v>2</v>
      </c>
      <c r="C23">
        <v>138</v>
      </c>
      <c r="D23">
        <v>82</v>
      </c>
      <c r="E23">
        <v>13</v>
      </c>
      <c r="O23">
        <f ca="1" t="shared" si="3"/>
        <v>120.985130399474</v>
      </c>
      <c r="P23">
        <f ca="1" t="shared" si="3"/>
        <v>37.1569494023512</v>
      </c>
      <c r="Q23">
        <f ca="1" t="shared" si="3"/>
        <v>128.339393796293</v>
      </c>
      <c r="R23">
        <f ca="1" t="shared" si="3"/>
        <v>55.7391618762488</v>
      </c>
      <c r="S23">
        <f ca="1" t="shared" si="3"/>
        <v>13.1600721882519</v>
      </c>
      <c r="T23">
        <f ca="1" t="shared" si="3"/>
        <v>85.2827100003277</v>
      </c>
      <c r="U23" t="str">
        <f ca="1" t="shared" si="4"/>
        <v>C5</v>
      </c>
      <c r="V23">
        <v>23</v>
      </c>
      <c r="W23" t="str">
        <f ca="1" t="shared" si="5"/>
        <v>C5</v>
      </c>
      <c r="X23">
        <f ca="1" t="shared" si="6"/>
        <v>0</v>
      </c>
    </row>
    <row r="24" spans="1:24">
      <c r="A24" t="s">
        <v>35</v>
      </c>
      <c r="B24">
        <v>11</v>
      </c>
      <c r="C24">
        <v>251</v>
      </c>
      <c r="D24">
        <v>68</v>
      </c>
      <c r="E24">
        <v>35</v>
      </c>
      <c r="O24">
        <f ca="1" t="shared" si="3"/>
        <v>232.667004775304</v>
      </c>
      <c r="P24">
        <f ca="1" t="shared" si="3"/>
        <v>89.6900527124137</v>
      </c>
      <c r="Q24">
        <f ca="1" t="shared" si="3"/>
        <v>16.3645959314613</v>
      </c>
      <c r="R24">
        <f ca="1" t="shared" si="3"/>
        <v>165.032888136476</v>
      </c>
      <c r="S24">
        <f ca="1" t="shared" si="3"/>
        <v>105.50918206488</v>
      </c>
      <c r="T24">
        <f ca="1" t="shared" si="3"/>
        <v>31.6802876407396</v>
      </c>
      <c r="U24" t="str">
        <f ca="1" t="shared" si="4"/>
        <v>C3</v>
      </c>
      <c r="V24">
        <v>24</v>
      </c>
      <c r="W24" t="str">
        <f ca="1" t="shared" si="5"/>
        <v>C3</v>
      </c>
      <c r="X24">
        <f ca="1" t="shared" si="6"/>
        <v>0</v>
      </c>
    </row>
    <row r="25" spans="1:24">
      <c r="A25" t="s">
        <v>36</v>
      </c>
      <c r="B25">
        <v>1</v>
      </c>
      <c r="C25">
        <v>3</v>
      </c>
      <c r="D25">
        <v>62</v>
      </c>
      <c r="E25">
        <v>14</v>
      </c>
      <c r="O25">
        <f ca="1" t="shared" si="3"/>
        <v>18.4868000956839</v>
      </c>
      <c r="P25">
        <f ca="1" t="shared" si="3"/>
        <v>160.510556939065</v>
      </c>
      <c r="Q25">
        <f ca="1" t="shared" si="3"/>
        <v>260.302132146473</v>
      </c>
      <c r="R25">
        <f ca="1" t="shared" si="3"/>
        <v>84.337738685992</v>
      </c>
      <c r="S25">
        <f ca="1" t="shared" si="3"/>
        <v>146.557795766721</v>
      </c>
      <c r="T25">
        <f ca="1" t="shared" si="3"/>
        <v>218.089180440021</v>
      </c>
      <c r="U25" t="str">
        <f ca="1" t="shared" si="4"/>
        <v>C1</v>
      </c>
      <c r="V25">
        <v>25</v>
      </c>
      <c r="W25" t="str">
        <f ca="1" t="shared" si="5"/>
        <v>C1</v>
      </c>
      <c r="X25">
        <f ca="1" t="shared" si="6"/>
        <v>0</v>
      </c>
    </row>
    <row r="26" spans="1:24">
      <c r="A26" t="s">
        <v>37</v>
      </c>
      <c r="B26">
        <v>13</v>
      </c>
      <c r="C26">
        <v>209</v>
      </c>
      <c r="D26">
        <v>44</v>
      </c>
      <c r="E26">
        <v>13</v>
      </c>
      <c r="O26">
        <f ca="1" t="shared" si="3"/>
        <v>189.635057705877</v>
      </c>
      <c r="P26">
        <f ca="1" t="shared" si="3"/>
        <v>48.678936809352</v>
      </c>
      <c r="Q26">
        <f ca="1" t="shared" si="3"/>
        <v>57.8117635088223</v>
      </c>
      <c r="R26">
        <f ca="1" t="shared" si="3"/>
        <v>123.333643017629</v>
      </c>
      <c r="S26">
        <f ca="1" t="shared" si="3"/>
        <v>73.3088500796459</v>
      </c>
      <c r="T26">
        <f ca="1" t="shared" si="3"/>
        <v>29.3111007128699</v>
      </c>
      <c r="U26" t="str">
        <f ca="1" t="shared" si="4"/>
        <v>C6</v>
      </c>
      <c r="V26">
        <v>26</v>
      </c>
      <c r="W26" t="str">
        <f ca="1" t="shared" si="5"/>
        <v>C6</v>
      </c>
      <c r="X26">
        <f ca="1" t="shared" si="6"/>
        <v>0</v>
      </c>
    </row>
    <row r="27" spans="1:24">
      <c r="A27" t="s">
        <v>38</v>
      </c>
      <c r="B27">
        <v>8</v>
      </c>
      <c r="C27">
        <v>80</v>
      </c>
      <c r="D27">
        <v>61</v>
      </c>
      <c r="E27">
        <v>28</v>
      </c>
      <c r="O27">
        <f ca="1" t="shared" si="3"/>
        <v>62.6923847936184</v>
      </c>
      <c r="P27">
        <f ca="1" t="shared" si="3"/>
        <v>83.3704917155278</v>
      </c>
      <c r="Q27">
        <f ca="1" t="shared" si="3"/>
        <v>182.663077823626</v>
      </c>
      <c r="R27">
        <f ca="1" t="shared" si="3"/>
        <v>12.2482992016579</v>
      </c>
      <c r="S27">
        <f ca="1" t="shared" si="3"/>
        <v>71.7613231483367</v>
      </c>
      <c r="T27">
        <f ca="1" t="shared" si="3"/>
        <v>140.642776654189</v>
      </c>
      <c r="U27" t="str">
        <f ca="1" t="shared" si="4"/>
        <v>C4</v>
      </c>
      <c r="V27">
        <v>27</v>
      </c>
      <c r="W27" t="str">
        <f ca="1" t="shared" si="5"/>
        <v>C4</v>
      </c>
      <c r="X27">
        <f ca="1" t="shared" si="6"/>
        <v>0</v>
      </c>
    </row>
    <row r="28" spans="1:24">
      <c r="A28" t="s">
        <v>39</v>
      </c>
      <c r="B28">
        <v>5</v>
      </c>
      <c r="C28">
        <v>19</v>
      </c>
      <c r="D28">
        <v>45</v>
      </c>
      <c r="E28">
        <v>15</v>
      </c>
      <c r="O28">
        <f ca="1" t="shared" si="3"/>
        <v>11.1834003972157</v>
      </c>
      <c r="P28">
        <f ca="1" t="shared" si="3"/>
        <v>144.75141526846</v>
      </c>
      <c r="Q28">
        <f ca="1" t="shared" si="3"/>
        <v>244.45122212826</v>
      </c>
      <c r="R28">
        <f ca="1" t="shared" si="3"/>
        <v>69.8523740947054</v>
      </c>
      <c r="S28">
        <f ca="1" t="shared" si="3"/>
        <v>134.423537745441</v>
      </c>
      <c r="T28">
        <f ca="1" t="shared" si="3"/>
        <v>203.080379714536</v>
      </c>
      <c r="U28" t="str">
        <f ca="1" t="shared" si="4"/>
        <v>C1</v>
      </c>
      <c r="V28">
        <v>28</v>
      </c>
      <c r="W28" t="str">
        <f ca="1" t="shared" si="5"/>
        <v>C1</v>
      </c>
      <c r="X28">
        <f ca="1" t="shared" si="6"/>
        <v>0</v>
      </c>
    </row>
    <row r="29" spans="1:24">
      <c r="A29" t="s">
        <v>40</v>
      </c>
      <c r="B29">
        <v>4</v>
      </c>
      <c r="C29">
        <v>10</v>
      </c>
      <c r="D29">
        <v>56</v>
      </c>
      <c r="E29">
        <v>13</v>
      </c>
      <c r="O29">
        <f ca="1" t="shared" si="3"/>
        <v>10.3493209653795</v>
      </c>
      <c r="P29">
        <f ca="1" t="shared" si="3"/>
        <v>153.364399026922</v>
      </c>
      <c r="Q29">
        <f ca="1" t="shared" si="3"/>
        <v>253.25362781212</v>
      </c>
      <c r="R29">
        <f ca="1" t="shared" si="3"/>
        <v>77.4006083094097</v>
      </c>
      <c r="S29">
        <f ca="1" t="shared" si="3"/>
        <v>140.631388743765</v>
      </c>
      <c r="T29">
        <f ca="1" t="shared" si="3"/>
        <v>211.298700007833</v>
      </c>
      <c r="U29" t="str">
        <f ca="1" t="shared" si="4"/>
        <v>C1</v>
      </c>
      <c r="V29">
        <v>29</v>
      </c>
      <c r="W29" t="str">
        <f ca="1" t="shared" si="5"/>
        <v>C1</v>
      </c>
      <c r="X29">
        <f ca="1" t="shared" si="6"/>
        <v>0</v>
      </c>
    </row>
    <row r="30" spans="1:24">
      <c r="A30" t="s">
        <v>41</v>
      </c>
      <c r="B30">
        <v>11</v>
      </c>
      <c r="C30">
        <v>239</v>
      </c>
      <c r="D30">
        <v>75</v>
      </c>
      <c r="E30">
        <v>43</v>
      </c>
      <c r="O30">
        <f ca="1" t="shared" si="3"/>
        <v>222.256552459339</v>
      </c>
      <c r="P30">
        <f ca="1" t="shared" si="3"/>
        <v>80.9751333572364</v>
      </c>
      <c r="Q30">
        <f ca="1" t="shared" si="3"/>
        <v>32.1309819333303</v>
      </c>
      <c r="R30">
        <f ca="1" t="shared" si="3"/>
        <v>154.706240447286</v>
      </c>
      <c r="S30">
        <f ca="1" t="shared" si="3"/>
        <v>94.5393436617792</v>
      </c>
      <c r="T30">
        <f ca="1" t="shared" si="3"/>
        <v>26.012316794165</v>
      </c>
      <c r="U30" t="str">
        <f ca="1" t="shared" si="4"/>
        <v>C6</v>
      </c>
      <c r="V30">
        <v>30</v>
      </c>
      <c r="W30" t="str">
        <f ca="1" t="shared" si="5"/>
        <v>C6</v>
      </c>
      <c r="X30">
        <f ca="1" t="shared" si="6"/>
        <v>0</v>
      </c>
    </row>
    <row r="31" spans="1:24">
      <c r="A31" t="s">
        <v>42</v>
      </c>
      <c r="B31">
        <v>0</v>
      </c>
      <c r="C31">
        <v>0.1</v>
      </c>
      <c r="D31">
        <v>53</v>
      </c>
      <c r="E31">
        <v>6</v>
      </c>
      <c r="O31">
        <f ca="1" t="shared" si="3"/>
        <v>20.9543896223308</v>
      </c>
      <c r="P31">
        <f ca="1" t="shared" si="3"/>
        <v>164.004214038</v>
      </c>
      <c r="Q31">
        <f ca="1" t="shared" si="3"/>
        <v>263.840273650556</v>
      </c>
      <c r="R31">
        <f ca="1" t="shared" si="3"/>
        <v>88.3286335227711</v>
      </c>
      <c r="S31">
        <f ca="1" t="shared" si="3"/>
        <v>151.539260589459</v>
      </c>
      <c r="T31">
        <f ca="1" t="shared" si="3"/>
        <v>222.008559801193</v>
      </c>
      <c r="U31" t="str">
        <f ca="1" t="shared" si="4"/>
        <v>C1</v>
      </c>
      <c r="V31">
        <v>31</v>
      </c>
      <c r="W31" t="str">
        <f ca="1" t="shared" si="5"/>
        <v>C1</v>
      </c>
      <c r="X31">
        <f ca="1" t="shared" si="6"/>
        <v>0</v>
      </c>
    </row>
    <row r="32" spans="1:24">
      <c r="A32" t="s">
        <v>43</v>
      </c>
      <c r="B32">
        <v>5</v>
      </c>
      <c r="C32">
        <v>155</v>
      </c>
      <c r="D32">
        <v>87</v>
      </c>
      <c r="E32">
        <v>19</v>
      </c>
      <c r="O32">
        <f ca="1" t="shared" si="3"/>
        <v>138.890658833167</v>
      </c>
      <c r="P32">
        <f ca="1" t="shared" si="3"/>
        <v>31.4161140534953</v>
      </c>
      <c r="Q32">
        <f ca="1" t="shared" si="3"/>
        <v>112.165948487052</v>
      </c>
      <c r="R32">
        <f ca="1" t="shared" si="3"/>
        <v>73.0001426939245</v>
      </c>
      <c r="S32">
        <f ca="1" t="shared" si="3"/>
        <v>8.52569645248997</v>
      </c>
      <c r="T32">
        <f ca="1" t="shared" si="3"/>
        <v>69.0553446519529</v>
      </c>
      <c r="U32" t="str">
        <f ca="1" t="shared" si="4"/>
        <v>C5</v>
      </c>
      <c r="V32">
        <v>32</v>
      </c>
      <c r="W32" t="str">
        <f ca="1" t="shared" si="5"/>
        <v>C5</v>
      </c>
      <c r="X32">
        <f ca="1" t="shared" si="6"/>
        <v>0</v>
      </c>
    </row>
    <row r="33" spans="1:24">
      <c r="A33" t="s">
        <v>44</v>
      </c>
      <c r="B33">
        <v>12</v>
      </c>
      <c r="C33">
        <v>229</v>
      </c>
      <c r="D33">
        <v>64</v>
      </c>
      <c r="E33">
        <v>32</v>
      </c>
      <c r="O33">
        <f ca="1" t="shared" si="3"/>
        <v>210.375256255208</v>
      </c>
      <c r="P33">
        <f ca="1" t="shared" si="3"/>
        <v>67.2034638657529</v>
      </c>
      <c r="Q33">
        <f ca="1" t="shared" si="3"/>
        <v>34.2607647316869</v>
      </c>
      <c r="R33">
        <f ca="1" t="shared" si="3"/>
        <v>142.766782434384</v>
      </c>
      <c r="S33">
        <f ca="1" t="shared" si="3"/>
        <v>84.4907539320132</v>
      </c>
      <c r="T33">
        <f ca="1" t="shared" si="3"/>
        <v>10.7884486836616</v>
      </c>
      <c r="U33" t="str">
        <f ca="1" t="shared" si="4"/>
        <v>C6</v>
      </c>
      <c r="V33">
        <v>33</v>
      </c>
      <c r="W33" t="str">
        <f ca="1" t="shared" si="5"/>
        <v>C6</v>
      </c>
      <c r="X33">
        <f ca="1" t="shared" si="6"/>
        <v>0</v>
      </c>
    </row>
    <row r="34" spans="1:24">
      <c r="A34" t="s">
        <v>45</v>
      </c>
      <c r="B34">
        <v>9</v>
      </c>
      <c r="C34">
        <v>161</v>
      </c>
      <c r="D34">
        <v>85</v>
      </c>
      <c r="E34">
        <v>23</v>
      </c>
      <c r="O34">
        <f ca="1" t="shared" si="3"/>
        <v>144.698497266251</v>
      </c>
      <c r="P34">
        <f ca="1" t="shared" si="3"/>
        <v>27.9697256968236</v>
      </c>
      <c r="Q34">
        <f ca="1" t="shared" si="3"/>
        <v>105.407779599041</v>
      </c>
      <c r="R34">
        <f ca="1" t="shared" si="3"/>
        <v>78.1644900194455</v>
      </c>
      <c r="S34">
        <f ca="1" t="shared" si="3"/>
        <v>13.8089644796415</v>
      </c>
      <c r="T34">
        <f ca="1" t="shared" si="3"/>
        <v>62.2707043881792</v>
      </c>
      <c r="U34" t="str">
        <f ca="1" t="shared" si="4"/>
        <v>C5</v>
      </c>
      <c r="V34">
        <v>34</v>
      </c>
      <c r="W34" t="str">
        <f ca="1" t="shared" si="5"/>
        <v>C5</v>
      </c>
      <c r="X34">
        <f ca="1" t="shared" si="6"/>
        <v>0</v>
      </c>
    </row>
    <row r="35" spans="1:24">
      <c r="A35" t="s">
        <v>46</v>
      </c>
      <c r="B35">
        <v>13</v>
      </c>
      <c r="C35">
        <v>321</v>
      </c>
      <c r="D35">
        <v>45</v>
      </c>
      <c r="E35">
        <v>13</v>
      </c>
      <c r="O35">
        <f ca="1" t="shared" si="3"/>
        <v>301.353748570974</v>
      </c>
      <c r="P35">
        <f ca="1" t="shared" si="3"/>
        <v>158.720841591631</v>
      </c>
      <c r="Q35">
        <f ca="1" t="shared" si="3"/>
        <v>62.0741492088292</v>
      </c>
      <c r="R35">
        <f ca="1" t="shared" si="3"/>
        <v>234.591178080791</v>
      </c>
      <c r="S35">
        <f ca="1" t="shared" si="3"/>
        <v>177.653278888964</v>
      </c>
      <c r="T35">
        <f ca="1" t="shared" si="3"/>
        <v>103.837086943924</v>
      </c>
      <c r="U35" t="str">
        <f ca="1" t="shared" si="4"/>
        <v>C3</v>
      </c>
      <c r="V35">
        <v>35</v>
      </c>
      <c r="W35" t="str">
        <f ca="1" t="shared" si="5"/>
        <v>C3</v>
      </c>
      <c r="X35">
        <f ca="1" t="shared" si="6"/>
        <v>0</v>
      </c>
    </row>
    <row r="36" spans="1:24">
      <c r="A36" t="s">
        <v>47</v>
      </c>
      <c r="B36">
        <v>0.1</v>
      </c>
      <c r="C36">
        <v>27</v>
      </c>
      <c r="D36">
        <v>44</v>
      </c>
      <c r="E36">
        <v>6</v>
      </c>
      <c r="O36">
        <f ca="1" t="shared" si="3"/>
        <v>14.5215625115818</v>
      </c>
      <c r="P36">
        <f ca="1" t="shared" si="3"/>
        <v>137.880197595191</v>
      </c>
      <c r="Q36">
        <f ca="1" t="shared" si="3"/>
        <v>237.440455693633</v>
      </c>
      <c r="R36">
        <f ca="1" t="shared" si="3"/>
        <v>63.6886763875652</v>
      </c>
      <c r="S36">
        <f ca="1" t="shared" si="3"/>
        <v>127.938451999389</v>
      </c>
      <c r="T36">
        <f ca="1" t="shared" si="3"/>
        <v>196.175943033288</v>
      </c>
      <c r="U36" t="str">
        <f ca="1" t="shared" si="4"/>
        <v>C1</v>
      </c>
      <c r="V36">
        <v>36</v>
      </c>
      <c r="W36" t="str">
        <f ca="1" t="shared" si="5"/>
        <v>C1</v>
      </c>
      <c r="X36">
        <f ca="1" t="shared" si="6"/>
        <v>0</v>
      </c>
    </row>
    <row r="37" spans="1:24">
      <c r="A37" t="s">
        <v>48</v>
      </c>
      <c r="B37">
        <v>8</v>
      </c>
      <c r="C37">
        <v>119</v>
      </c>
      <c r="D37">
        <v>73</v>
      </c>
      <c r="E37">
        <v>18</v>
      </c>
      <c r="O37">
        <f ca="1" t="shared" si="3"/>
        <v>100.937877484674</v>
      </c>
      <c r="P37">
        <f ca="1" t="shared" si="3"/>
        <v>46.9429322570383</v>
      </c>
      <c r="Q37">
        <f ca="1" t="shared" si="3"/>
        <v>144.902725992301</v>
      </c>
      <c r="R37">
        <f ca="1" t="shared" si="3"/>
        <v>34.4555873553187</v>
      </c>
      <c r="S37">
        <f ca="1" t="shared" si="3"/>
        <v>30.5971812427223</v>
      </c>
      <c r="T37">
        <f ca="1" t="shared" si="3"/>
        <v>102.053371453372</v>
      </c>
      <c r="U37" t="str">
        <f ca="1" t="shared" si="4"/>
        <v>C5</v>
      </c>
      <c r="V37">
        <v>37</v>
      </c>
      <c r="W37" t="str">
        <f ca="1" t="shared" si="5"/>
        <v>C4</v>
      </c>
      <c r="X37">
        <f ca="1" t="shared" si="6"/>
        <v>1</v>
      </c>
    </row>
    <row r="38" spans="1:24">
      <c r="A38" t="s">
        <v>49</v>
      </c>
      <c r="B38">
        <v>4</v>
      </c>
      <c r="C38">
        <v>116</v>
      </c>
      <c r="D38">
        <v>59</v>
      </c>
      <c r="E38">
        <v>20</v>
      </c>
      <c r="O38">
        <f ca="1" t="shared" si="3"/>
        <v>96.4212378634039</v>
      </c>
      <c r="P38">
        <f ca="1" t="shared" si="3"/>
        <v>47.461973082552</v>
      </c>
      <c r="Q38">
        <f ca="1" t="shared" si="3"/>
        <v>147.095207263867</v>
      </c>
      <c r="R38">
        <f ca="1" t="shared" si="3"/>
        <v>29.0348210487568</v>
      </c>
      <c r="S38">
        <f ca="1" t="shared" si="3"/>
        <v>40.0835065831322</v>
      </c>
      <c r="T38">
        <f ca="1" t="shared" si="3"/>
        <v>105.158882767934</v>
      </c>
      <c r="U38" t="str">
        <f ca="1" t="shared" si="4"/>
        <v>C4</v>
      </c>
      <c r="V38">
        <v>38</v>
      </c>
      <c r="W38" t="str">
        <f ca="1" t="shared" si="5"/>
        <v>C4</v>
      </c>
      <c r="X38">
        <f ca="1" t="shared" si="6"/>
        <v>0</v>
      </c>
    </row>
    <row r="39" spans="1:24">
      <c r="A39" t="s">
        <v>50</v>
      </c>
      <c r="B39">
        <v>4</v>
      </c>
      <c r="C39">
        <v>103</v>
      </c>
      <c r="D39">
        <v>58</v>
      </c>
      <c r="E39">
        <v>29</v>
      </c>
      <c r="O39">
        <f ca="1" t="shared" si="3"/>
        <v>84.810072777026</v>
      </c>
      <c r="P39">
        <f ca="1" t="shared" si="3"/>
        <v>60.7862831749254</v>
      </c>
      <c r="Q39">
        <f ca="1" t="shared" si="3"/>
        <v>159.763575323038</v>
      </c>
      <c r="R39">
        <f ca="1" t="shared" si="3"/>
        <v>19.3568463340494</v>
      </c>
      <c r="S39">
        <f ca="1" t="shared" si="3"/>
        <v>52.2655479259521</v>
      </c>
      <c r="T39">
        <f ca="1" t="shared" si="3"/>
        <v>117.996358524321</v>
      </c>
      <c r="U39" t="str">
        <f ca="1" t="shared" si="4"/>
        <v>C4</v>
      </c>
      <c r="V39">
        <v>39</v>
      </c>
      <c r="W39" t="str">
        <f ca="1" t="shared" si="5"/>
        <v>C4</v>
      </c>
      <c r="X39">
        <f ca="1" t="shared" si="6"/>
        <v>0</v>
      </c>
    </row>
    <row r="40" spans="1:24">
      <c r="A40" t="s">
        <v>51</v>
      </c>
      <c r="B40">
        <v>4</v>
      </c>
      <c r="C40">
        <v>57</v>
      </c>
      <c r="D40">
        <v>67</v>
      </c>
      <c r="E40">
        <v>13</v>
      </c>
      <c r="O40">
        <f ca="1" t="shared" si="3"/>
        <v>38.8870386861455</v>
      </c>
      <c r="P40">
        <f ca="1" t="shared" si="3"/>
        <v>106.971829105715</v>
      </c>
      <c r="Q40">
        <f ca="1" t="shared" si="3"/>
        <v>206.599612777953</v>
      </c>
      <c r="R40">
        <f ca="1" t="shared" si="3"/>
        <v>31.3292328877254</v>
      </c>
      <c r="S40">
        <f ca="1" t="shared" si="3"/>
        <v>92.5158770157858</v>
      </c>
      <c r="T40">
        <f ca="1" t="shared" si="3"/>
        <v>164.158888352108</v>
      </c>
      <c r="U40" t="str">
        <f ca="1" t="shared" si="4"/>
        <v>C4</v>
      </c>
      <c r="V40">
        <v>40</v>
      </c>
      <c r="W40" t="str">
        <f ca="1" t="shared" si="5"/>
        <v>C4</v>
      </c>
      <c r="X40">
        <f ca="1" t="shared" si="6"/>
        <v>0</v>
      </c>
    </row>
    <row r="41" spans="1:24">
      <c r="A41" t="s">
        <v>52</v>
      </c>
      <c r="B41">
        <v>2</v>
      </c>
      <c r="C41">
        <v>97</v>
      </c>
      <c r="D41">
        <v>83</v>
      </c>
      <c r="E41">
        <v>5</v>
      </c>
      <c r="O41">
        <f ca="1" t="shared" si="3"/>
        <v>82.1217903144132</v>
      </c>
      <c r="P41">
        <f ca="1" t="shared" si="3"/>
        <v>73.2277649225726</v>
      </c>
      <c r="Q41">
        <f ca="1" t="shared" si="3"/>
        <v>169.552941584627</v>
      </c>
      <c r="R41">
        <f ca="1" t="shared" si="3"/>
        <v>28.399310437638</v>
      </c>
      <c r="S41">
        <f ca="1" t="shared" si="3"/>
        <v>53.1807060878285</v>
      </c>
      <c r="T41">
        <f ca="1" t="shared" si="3"/>
        <v>126.618089643621</v>
      </c>
      <c r="U41" t="str">
        <f ca="1" t="shared" si="4"/>
        <v>C4</v>
      </c>
      <c r="V41">
        <v>41</v>
      </c>
      <c r="W41" t="str">
        <f ca="1" t="shared" si="5"/>
        <v>C4</v>
      </c>
      <c r="X41">
        <f ca="1" t="shared" si="6"/>
        <v>0</v>
      </c>
    </row>
    <row r="42" spans="1:24">
      <c r="A42" t="s">
        <v>53</v>
      </c>
      <c r="B42">
        <v>13</v>
      </c>
      <c r="C42">
        <v>210</v>
      </c>
      <c r="D42">
        <v>46</v>
      </c>
      <c r="E42">
        <v>21</v>
      </c>
      <c r="O42">
        <f ca="1" t="shared" si="3"/>
        <v>190.742763369355</v>
      </c>
      <c r="P42">
        <f ca="1" t="shared" si="3"/>
        <v>48.3939275345804</v>
      </c>
      <c r="Q42">
        <f ca="1" t="shared" si="3"/>
        <v>54.6186781238799</v>
      </c>
      <c r="R42">
        <f ca="1" t="shared" si="3"/>
        <v>123.990675052602</v>
      </c>
      <c r="S42">
        <f ca="1" t="shared" si="3"/>
        <v>72.7783449935487</v>
      </c>
      <c r="T42">
        <f ca="1" t="shared" si="3"/>
        <v>24.3955041964703</v>
      </c>
      <c r="U42" t="str">
        <f ca="1" t="shared" si="4"/>
        <v>C6</v>
      </c>
      <c r="V42">
        <v>42</v>
      </c>
      <c r="W42" t="str">
        <f ca="1" t="shared" si="5"/>
        <v>C6</v>
      </c>
      <c r="X42">
        <f ca="1" t="shared" si="6"/>
        <v>0</v>
      </c>
    </row>
    <row r="43" spans="1:24">
      <c r="A43" t="s">
        <v>54</v>
      </c>
      <c r="B43">
        <v>3</v>
      </c>
      <c r="C43">
        <v>1</v>
      </c>
      <c r="D43">
        <v>43</v>
      </c>
      <c r="E43">
        <v>12</v>
      </c>
      <c r="O43">
        <f ca="1" t="shared" si="3"/>
        <v>22.6306969500377</v>
      </c>
      <c r="P43">
        <f ca="1" t="shared" si="3"/>
        <v>163.053075884988</v>
      </c>
      <c r="Q43">
        <f ca="1" t="shared" si="3"/>
        <v>262.736750379539</v>
      </c>
      <c r="R43">
        <f ca="1" t="shared" si="3"/>
        <v>88.0607034948052</v>
      </c>
      <c r="S43">
        <f ca="1" t="shared" si="3"/>
        <v>152.439127195087</v>
      </c>
      <c r="T43">
        <f ca="1" t="shared" si="3"/>
        <v>221.38742201173</v>
      </c>
      <c r="U43" t="str">
        <f ca="1" t="shared" si="4"/>
        <v>C1</v>
      </c>
      <c r="V43">
        <v>43</v>
      </c>
      <c r="W43" t="str">
        <f ca="1" t="shared" si="5"/>
        <v>C1</v>
      </c>
      <c r="X43">
        <f ca="1" t="shared" si="6"/>
        <v>0</v>
      </c>
    </row>
    <row r="44" spans="1:24">
      <c r="A44" t="s">
        <v>55</v>
      </c>
      <c r="B44">
        <v>14</v>
      </c>
      <c r="C44">
        <v>96</v>
      </c>
      <c r="D44">
        <v>58</v>
      </c>
      <c r="E44">
        <v>27</v>
      </c>
      <c r="O44">
        <f ca="1" t="shared" si="3"/>
        <v>78.4711525197494</v>
      </c>
      <c r="P44">
        <f ca="1" t="shared" si="3"/>
        <v>67.3397274191757</v>
      </c>
      <c r="Q44">
        <f ca="1" t="shared" si="3"/>
        <v>166.643931782709</v>
      </c>
      <c r="R44">
        <f ca="1" t="shared" si="3"/>
        <v>15.1829125444802</v>
      </c>
      <c r="S44">
        <f ca="1" t="shared" si="3"/>
        <v>58.3968107005854</v>
      </c>
      <c r="T44">
        <f ca="1" t="shared" si="3"/>
        <v>124.906527551606</v>
      </c>
      <c r="U44" t="str">
        <f ca="1" t="shared" si="4"/>
        <v>C4</v>
      </c>
      <c r="V44">
        <v>44</v>
      </c>
      <c r="W44" t="str">
        <f ca="1" t="shared" si="5"/>
        <v>C4</v>
      </c>
      <c r="X44">
        <f ca="1" t="shared" si="6"/>
        <v>0</v>
      </c>
    </row>
    <row r="45" spans="1:24">
      <c r="A45" t="s">
        <v>56</v>
      </c>
      <c r="B45">
        <v>13</v>
      </c>
      <c r="C45">
        <v>137</v>
      </c>
      <c r="D45">
        <v>79</v>
      </c>
      <c r="E45">
        <v>25</v>
      </c>
      <c r="O45">
        <f ca="1" t="shared" si="3"/>
        <v>120.611339065243</v>
      </c>
      <c r="P45">
        <f ca="1" t="shared" si="3"/>
        <v>34.2486820508793</v>
      </c>
      <c r="Q45">
        <f ca="1" t="shared" si="3"/>
        <v>127.472349943037</v>
      </c>
      <c r="R45">
        <f ca="1" t="shared" si="3"/>
        <v>54.2465436686984</v>
      </c>
      <c r="S45">
        <f ca="1" t="shared" si="3"/>
        <v>13.8451254960004</v>
      </c>
      <c r="T45">
        <f ca="1" t="shared" si="3"/>
        <v>84.4460811701763</v>
      </c>
      <c r="U45" t="str">
        <f ca="1" t="shared" si="4"/>
        <v>C5</v>
      </c>
      <c r="V45">
        <v>45</v>
      </c>
      <c r="W45" t="str">
        <f ca="1" t="shared" si="5"/>
        <v>C5</v>
      </c>
      <c r="X45">
        <f ca="1" t="shared" si="6"/>
        <v>0</v>
      </c>
    </row>
    <row r="46" spans="1:24">
      <c r="A46" t="s">
        <v>57</v>
      </c>
      <c r="B46">
        <v>0</v>
      </c>
      <c r="C46">
        <v>49</v>
      </c>
      <c r="D46">
        <v>74</v>
      </c>
      <c r="E46">
        <v>21</v>
      </c>
      <c r="O46">
        <f ca="1" t="shared" si="3"/>
        <v>35.7920164903354</v>
      </c>
      <c r="P46">
        <f ca="1" t="shared" si="3"/>
        <v>115.684796849985</v>
      </c>
      <c r="Q46">
        <f ca="1" t="shared" si="3"/>
        <v>214.678364070532</v>
      </c>
      <c r="R46">
        <f ca="1" t="shared" si="3"/>
        <v>40.9595837381192</v>
      </c>
      <c r="S46">
        <f ca="1" t="shared" si="3"/>
        <v>99.4519356272164</v>
      </c>
      <c r="T46">
        <f ca="1" t="shared" si="3"/>
        <v>171.997501798718</v>
      </c>
      <c r="U46" t="str">
        <f ca="1" t="shared" si="4"/>
        <v>C1</v>
      </c>
      <c r="V46">
        <v>46</v>
      </c>
      <c r="W46" t="str">
        <f ca="1" t="shared" si="5"/>
        <v>C1</v>
      </c>
      <c r="X46">
        <f ca="1" t="shared" si="6"/>
        <v>0</v>
      </c>
    </row>
    <row r="47" spans="1:24">
      <c r="A47" t="s">
        <v>58</v>
      </c>
      <c r="B47">
        <v>0.1</v>
      </c>
      <c r="C47">
        <v>44</v>
      </c>
      <c r="D47">
        <v>24</v>
      </c>
      <c r="E47">
        <v>8</v>
      </c>
      <c r="O47">
        <f ca="1" t="shared" si="3"/>
        <v>39.5698004936986</v>
      </c>
      <c r="P47">
        <f ca="1" t="shared" si="3"/>
        <v>124.678047608854</v>
      </c>
      <c r="Q47">
        <f ca="1" t="shared" si="3"/>
        <v>222.526784904649</v>
      </c>
      <c r="R47">
        <f ca="1" t="shared" si="3"/>
        <v>57.5072241838652</v>
      </c>
      <c r="S47">
        <f ca="1" t="shared" si="3"/>
        <v>120.290263529514</v>
      </c>
      <c r="T47">
        <f ca="1" t="shared" si="3"/>
        <v>182.856502823936</v>
      </c>
      <c r="U47" t="str">
        <f ca="1" t="shared" si="4"/>
        <v>C1</v>
      </c>
      <c r="V47">
        <v>47</v>
      </c>
      <c r="W47" t="str">
        <f ca="1" t="shared" si="5"/>
        <v>C1</v>
      </c>
      <c r="X47">
        <f ca="1" t="shared" si="6"/>
        <v>0</v>
      </c>
    </row>
    <row r="48" spans="1:24">
      <c r="A48" t="s">
        <v>59</v>
      </c>
      <c r="B48">
        <v>7</v>
      </c>
      <c r="C48">
        <v>100</v>
      </c>
      <c r="D48">
        <v>58</v>
      </c>
      <c r="E48">
        <v>16</v>
      </c>
      <c r="O48">
        <f ca="1" t="shared" si="3"/>
        <v>80.2958806193969</v>
      </c>
      <c r="P48">
        <f ca="1" t="shared" si="3"/>
        <v>63.3243414669448</v>
      </c>
      <c r="Q48">
        <f ca="1" t="shared" si="3"/>
        <v>163.221934800443</v>
      </c>
      <c r="R48">
        <f ca="1" t="shared" si="3"/>
        <v>13.3923174494434</v>
      </c>
      <c r="S48">
        <f ca="1" t="shared" si="3"/>
        <v>54.1635255499492</v>
      </c>
      <c r="T48">
        <f ca="1" t="shared" si="3"/>
        <v>121.327616909754</v>
      </c>
      <c r="U48" t="str">
        <f ca="1" t="shared" si="4"/>
        <v>C4</v>
      </c>
      <c r="V48">
        <v>48</v>
      </c>
      <c r="W48" t="str">
        <f ca="1" t="shared" si="5"/>
        <v>C4</v>
      </c>
      <c r="X48">
        <f ca="1" t="shared" si="6"/>
        <v>0</v>
      </c>
    </row>
    <row r="49" spans="1:24">
      <c r="A49" t="s">
        <v>60</v>
      </c>
      <c r="B49">
        <v>1</v>
      </c>
      <c r="C49">
        <v>62</v>
      </c>
      <c r="D49">
        <v>73</v>
      </c>
      <c r="E49">
        <v>24</v>
      </c>
      <c r="O49">
        <f ca="1" t="shared" si="3"/>
        <v>47.2039734674011</v>
      </c>
      <c r="P49">
        <f ca="1" t="shared" si="3"/>
        <v>102.674106873263</v>
      </c>
      <c r="Q49">
        <f ca="1" t="shared" si="3"/>
        <v>201.511290006292</v>
      </c>
      <c r="R49">
        <f ca="1" t="shared" si="3"/>
        <v>29.06637518967</v>
      </c>
      <c r="S49">
        <f ca="1" t="shared" si="3"/>
        <v>86.6786450055606</v>
      </c>
      <c r="T49">
        <f ca="1" t="shared" si="3"/>
        <v>158.862804409969</v>
      </c>
      <c r="U49" t="str">
        <f ca="1" t="shared" si="4"/>
        <v>C4</v>
      </c>
      <c r="V49">
        <v>49</v>
      </c>
      <c r="W49" t="str">
        <f ca="1" t="shared" si="5"/>
        <v>C4</v>
      </c>
      <c r="X49">
        <f ca="1" t="shared" si="6"/>
        <v>0</v>
      </c>
    </row>
    <row r="50" spans="1:24">
      <c r="A50" t="s">
        <v>61</v>
      </c>
      <c r="B50">
        <v>5</v>
      </c>
      <c r="C50">
        <v>65</v>
      </c>
      <c r="D50">
        <v>34</v>
      </c>
      <c r="E50">
        <v>9</v>
      </c>
      <c r="O50">
        <f ca="1" t="shared" si="3"/>
        <v>49.8960430406171</v>
      </c>
      <c r="P50">
        <f ca="1" t="shared" si="3"/>
        <v>101.605309353837</v>
      </c>
      <c r="Q50">
        <f ca="1" t="shared" si="3"/>
        <v>200.187412191676</v>
      </c>
      <c r="R50">
        <f ca="1" t="shared" si="3"/>
        <v>35.555414496248</v>
      </c>
      <c r="S50">
        <f ca="1" t="shared" si="3"/>
        <v>96.9494069089646</v>
      </c>
      <c r="T50">
        <f ca="1" t="shared" si="3"/>
        <v>160.000439452522</v>
      </c>
      <c r="U50" t="str">
        <f ca="1" t="shared" si="4"/>
        <v>C4</v>
      </c>
      <c r="V50">
        <v>50</v>
      </c>
      <c r="W50" t="str">
        <f ca="1" t="shared" si="5"/>
        <v>C4</v>
      </c>
      <c r="X50">
        <f ca="1" t="shared" si="6"/>
        <v>0</v>
      </c>
    </row>
    <row r="51" spans="1:24">
      <c r="A51" t="s">
        <v>62</v>
      </c>
      <c r="B51">
        <v>0</v>
      </c>
      <c r="C51">
        <v>0.1</v>
      </c>
      <c r="D51">
        <v>60</v>
      </c>
      <c r="E51">
        <v>11</v>
      </c>
      <c r="O51">
        <f ca="1" t="shared" si="3"/>
        <v>20.5982145936109</v>
      </c>
      <c r="P51">
        <f ca="1" t="shared" si="3"/>
        <v>163.578876658598</v>
      </c>
      <c r="Q51">
        <f ca="1" t="shared" si="3"/>
        <v>263.405561824347</v>
      </c>
      <c r="R51">
        <f ca="1" t="shared" si="3"/>
        <v>87.4706474576853</v>
      </c>
      <c r="S51">
        <f ca="1" t="shared" si="3"/>
        <v>149.915467847717</v>
      </c>
      <c r="T51">
        <f ca="1" t="shared" si="3"/>
        <v>221.268051523486</v>
      </c>
      <c r="U51" t="str">
        <f ca="1" t="shared" si="4"/>
        <v>C1</v>
      </c>
      <c r="V51">
        <v>51</v>
      </c>
      <c r="W51" t="str">
        <f ca="1" t="shared" si="5"/>
        <v>C1</v>
      </c>
      <c r="X51">
        <f ca="1" t="shared" si="6"/>
        <v>0</v>
      </c>
    </row>
    <row r="52" spans="1:24">
      <c r="A52" t="s">
        <v>63</v>
      </c>
      <c r="B52">
        <v>6</v>
      </c>
      <c r="C52">
        <v>143</v>
      </c>
      <c r="D52">
        <v>51</v>
      </c>
      <c r="E52">
        <v>11</v>
      </c>
      <c r="O52">
        <f ca="1" t="shared" si="3"/>
        <v>123.116591534655</v>
      </c>
      <c r="P52">
        <f ca="1" t="shared" si="3"/>
        <v>23.7831639797755</v>
      </c>
      <c r="Q52">
        <f ca="1" t="shared" si="3"/>
        <v>121.340018130871</v>
      </c>
      <c r="R52">
        <f ca="1" t="shared" si="3"/>
        <v>57.1505686760858</v>
      </c>
      <c r="S52">
        <f ca="1" t="shared" si="3"/>
        <v>33.8406190841716</v>
      </c>
      <c r="T52">
        <f ca="1" t="shared" si="3"/>
        <v>80.7380989682071</v>
      </c>
      <c r="U52" t="str">
        <f ca="1" t="shared" si="4"/>
        <v>C2</v>
      </c>
      <c r="V52">
        <v>52</v>
      </c>
      <c r="W52" t="str">
        <f ca="1" t="shared" si="5"/>
        <v>C2</v>
      </c>
      <c r="X52">
        <f ca="1" t="shared" si="6"/>
        <v>0</v>
      </c>
    </row>
  </sheetData>
  <mergeCells count="2">
    <mergeCell ref="G1:K1"/>
    <mergeCell ref="O1:R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workbookViewId="0">
      <selection activeCell="K35" sqref="K35:K36"/>
    </sheetView>
  </sheetViews>
  <sheetFormatPr defaultColWidth="9" defaultRowHeight="15"/>
  <cols>
    <col min="23" max="23" width="10.5714285714286" customWidth="1"/>
  </cols>
  <sheetData>
    <row r="1" spans="6:22">
      <c r="F1">
        <f ca="1">_xlfn.SHEET(A1)-1</f>
        <v>3</v>
      </c>
      <c r="G1" s="7" t="s">
        <v>0</v>
      </c>
      <c r="H1" s="7"/>
      <c r="I1" s="7"/>
      <c r="J1" s="7"/>
      <c r="K1" s="7"/>
      <c r="L1" s="7"/>
      <c r="M1" s="7"/>
      <c r="O1" s="7" t="s">
        <v>1</v>
      </c>
      <c r="P1" s="7"/>
      <c r="Q1" s="7"/>
      <c r="R1" s="7"/>
      <c r="V1">
        <v>1</v>
      </c>
    </row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7</v>
      </c>
      <c r="V2">
        <v>2</v>
      </c>
      <c r="W2" t="s">
        <v>64</v>
      </c>
      <c r="X2" t="s">
        <v>65</v>
      </c>
    </row>
    <row r="3" spans="1:24">
      <c r="A3" t="s">
        <v>14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M3" si="0">IFERROR(AVERAGEIFS(INDIRECT($F$1&amp;"!"&amp;ADDRESS(3,$F3,1)):INDIRECT($F$1&amp;"!"&amp;ADDRESS(52,$F3,1)),INDIRECT($F$1&amp;"!$U$3"):INDIRECT($F$1&amp;"!$U$52"),H$2),0)</f>
        <v>1.88</v>
      </c>
      <c r="I3">
        <f ca="1" t="shared" si="0"/>
        <v>10.1666666666667</v>
      </c>
      <c r="J3">
        <f ca="1" t="shared" si="0"/>
        <v>11.75</v>
      </c>
      <c r="K3">
        <f ca="1" t="shared" si="0"/>
        <v>5.36363636363636</v>
      </c>
      <c r="L3">
        <f ca="1" t="shared" si="0"/>
        <v>7.4</v>
      </c>
      <c r="M3">
        <f ca="1" t="shared" si="0"/>
        <v>9.44444444444444</v>
      </c>
      <c r="O3">
        <f ca="1">SQRT(SUMXMY2($B3:$E3,H$3:H$6))</f>
        <v>173.564018288482</v>
      </c>
      <c r="P3">
        <f ca="1" t="shared" ref="P3:T18" si="1">SQRT(SUMXMY2($B3:$E3,I$3:I$6))</f>
        <v>30.6861351246599</v>
      </c>
      <c r="Q3">
        <f ca="1" t="shared" si="1"/>
        <v>80.7627698881112</v>
      </c>
      <c r="R3">
        <f ca="1" t="shared" si="1"/>
        <v>109.351960383294</v>
      </c>
      <c r="S3">
        <f ca="1" t="shared" si="1"/>
        <v>59.4656203196435</v>
      </c>
      <c r="T3">
        <f ca="1" t="shared" si="1"/>
        <v>31.4940715565624</v>
      </c>
      <c r="U3" t="str">
        <f ca="1">INDEX($O$2:$T$2,1,MATCH(MIN(O3:T3),O3:T3,0))</f>
        <v>C2</v>
      </c>
      <c r="V3">
        <v>3</v>
      </c>
      <c r="W3" t="str">
        <f ca="1">INDIRECT($F$1&amp;"!U"&amp;V3)</f>
        <v>C2</v>
      </c>
      <c r="X3">
        <f ca="1">IF(U3=W3,0,1)</f>
        <v>0</v>
      </c>
    </row>
    <row r="4" spans="1:24">
      <c r="A4" t="s">
        <v>15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M4" si="2">IFERROR(AVERAGEIFS(INDIRECT($F$1&amp;"!"&amp;ADDRESS(3,$F4,1)):INDIRECT($F$1&amp;"!"&amp;ADDRESS(52,$F4,1)),INDIRECT($F$1&amp;"!$U$3"):INDIRECT($F$1&amp;"!$U$52"),H$2),0)</f>
        <v>20.0266666666667</v>
      </c>
      <c r="I4">
        <f ca="1" t="shared" si="2"/>
        <v>163</v>
      </c>
      <c r="J4">
        <f ca="1" t="shared" si="2"/>
        <v>272.75</v>
      </c>
      <c r="K4">
        <f ca="1" t="shared" si="2"/>
        <v>84.1818181818182</v>
      </c>
      <c r="L4">
        <f ca="1" t="shared" si="2"/>
        <v>142</v>
      </c>
      <c r="M4">
        <f ca="1" t="shared" si="2"/>
        <v>220.666666666667</v>
      </c>
      <c r="O4">
        <f ca="1" t="shared" ref="O4:T52" si="3">SQRT(SUMXMY2($B4:$E4,H$3:H$6))</f>
        <v>204.983906143331</v>
      </c>
      <c r="P4">
        <f ca="1" t="shared" si="1"/>
        <v>65.0587341476061</v>
      </c>
      <c r="Q4">
        <f ca="1" t="shared" si="1"/>
        <v>58.1001290876363</v>
      </c>
      <c r="R4">
        <f ca="1" t="shared" si="1"/>
        <v>141.313115789777</v>
      </c>
      <c r="S4">
        <f ca="1" t="shared" si="1"/>
        <v>93.1942058284741</v>
      </c>
      <c r="T4">
        <f ca="1" t="shared" si="1"/>
        <v>28.4290322829183</v>
      </c>
      <c r="U4" t="str">
        <f ca="1" t="shared" ref="U4:U52" si="4">INDEX($O$2:$T$2,1,MATCH(MIN(O4:T4),O4:T4,0))</f>
        <v>C6</v>
      </c>
      <c r="V4">
        <v>4</v>
      </c>
      <c r="W4" t="str">
        <f ca="1" t="shared" ref="W4:W52" si="5">INDIRECT($F$1&amp;"!U"&amp;V4)</f>
        <v>C6</v>
      </c>
      <c r="X4">
        <f ca="1" t="shared" ref="X4:X52" si="6">IF(U4=W4,0,1)</f>
        <v>0</v>
      </c>
    </row>
    <row r="5" spans="1:24">
      <c r="A5" t="s">
        <v>16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M5" si="7">IFERROR(AVERAGEIFS(INDIRECT($F$1&amp;"!"&amp;ADDRESS(3,$F5,1)):INDIRECT($F$1&amp;"!"&amp;ADDRESS(52,$F5,1)),INDIRECT($F$1&amp;"!$U$3"):INDIRECT($F$1&amp;"!$U$52"),H$2),0)</f>
        <v>55.2</v>
      </c>
      <c r="I5">
        <f ca="1" t="shared" si="7"/>
        <v>57.1666666666667</v>
      </c>
      <c r="J5">
        <f ca="1" t="shared" si="7"/>
        <v>62.5</v>
      </c>
      <c r="K5">
        <f ca="1" t="shared" si="7"/>
        <v>59.0909090909091</v>
      </c>
      <c r="L5">
        <f ca="1" t="shared" si="7"/>
        <v>81.2</v>
      </c>
      <c r="M5">
        <f ca="1" t="shared" si="7"/>
        <v>63.8888888888889</v>
      </c>
      <c r="O5">
        <f ca="1" t="shared" si="3"/>
        <v>207.498116725055</v>
      </c>
      <c r="P5">
        <f ca="1" t="shared" si="1"/>
        <v>65.4113055128002</v>
      </c>
      <c r="Q5">
        <f ca="1" t="shared" si="1"/>
        <v>48.1780551703781</v>
      </c>
      <c r="R5">
        <f ca="1" t="shared" si="1"/>
        <v>142.880548849973</v>
      </c>
      <c r="S5">
        <f ca="1" t="shared" si="1"/>
        <v>85.1513945863484</v>
      </c>
      <c r="T5">
        <f ca="1" t="shared" si="1"/>
        <v>10.4343923258557</v>
      </c>
      <c r="U5" t="str">
        <f ca="1" t="shared" si="4"/>
        <v>C6</v>
      </c>
      <c r="V5">
        <v>5</v>
      </c>
      <c r="W5" t="str">
        <f ca="1" t="shared" si="5"/>
        <v>C6</v>
      </c>
      <c r="X5">
        <f ca="1" t="shared" si="6"/>
        <v>0</v>
      </c>
    </row>
    <row r="6" spans="1:24">
      <c r="A6" t="s">
        <v>17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M6" si="8">IFERROR(AVERAGEIFS(INDIRECT($F$1&amp;"!"&amp;ADDRESS(3,$F6,1)):INDIRECT($F$1&amp;"!"&amp;ADDRESS(52,$F6,1)),INDIRECT($F$1&amp;"!$U$3"):INDIRECT($F$1&amp;"!$U$52"),H$2),0)</f>
        <v>11.8</v>
      </c>
      <c r="I6">
        <f ca="1" t="shared" si="8"/>
        <v>21.5</v>
      </c>
      <c r="J6">
        <f ca="1" t="shared" si="8"/>
        <v>26.5</v>
      </c>
      <c r="K6">
        <f ca="1" t="shared" si="8"/>
        <v>18.3636363636364</v>
      </c>
      <c r="L6">
        <f ca="1" t="shared" si="8"/>
        <v>19.6</v>
      </c>
      <c r="M6">
        <f ca="1" t="shared" si="8"/>
        <v>28.3333333333333</v>
      </c>
      <c r="O6">
        <f ca="1" t="shared" si="3"/>
        <v>157.264623414733</v>
      </c>
      <c r="P6">
        <f ca="1" t="shared" si="1"/>
        <v>16.5016834158081</v>
      </c>
      <c r="Q6">
        <f ca="1" t="shared" si="1"/>
        <v>97.1011070997648</v>
      </c>
      <c r="R6">
        <f ca="1" t="shared" si="1"/>
        <v>93.3095355335541</v>
      </c>
      <c r="S6">
        <f ca="1" t="shared" si="1"/>
        <v>46.9633899968901</v>
      </c>
      <c r="T6">
        <f ca="1" t="shared" si="1"/>
        <v>47.2250979516529</v>
      </c>
      <c r="U6" t="str">
        <f ca="1" t="shared" si="4"/>
        <v>C2</v>
      </c>
      <c r="V6">
        <v>6</v>
      </c>
      <c r="W6" t="str">
        <f ca="1" t="shared" si="5"/>
        <v>C2</v>
      </c>
      <c r="X6">
        <f ca="1" t="shared" si="6"/>
        <v>0</v>
      </c>
    </row>
    <row r="7" spans="1:24">
      <c r="A7" t="s">
        <v>18</v>
      </c>
      <c r="B7">
        <v>7</v>
      </c>
      <c r="C7">
        <v>235</v>
      </c>
      <c r="D7">
        <v>86</v>
      </c>
      <c r="E7">
        <v>39</v>
      </c>
      <c r="O7">
        <f ca="1" t="shared" si="3"/>
        <v>218.925166311332</v>
      </c>
      <c r="P7">
        <f ca="1" t="shared" si="1"/>
        <v>79.5715959930985</v>
      </c>
      <c r="Q7">
        <f ca="1" t="shared" si="1"/>
        <v>46.4340930782545</v>
      </c>
      <c r="R7">
        <f ca="1" t="shared" si="1"/>
        <v>154.592238907969</v>
      </c>
      <c r="S7">
        <f ca="1" t="shared" si="1"/>
        <v>95.1239191791423</v>
      </c>
      <c r="T7">
        <f ca="1" t="shared" si="1"/>
        <v>28.5324160461763</v>
      </c>
      <c r="U7" t="str">
        <f ca="1" t="shared" si="4"/>
        <v>C6</v>
      </c>
      <c r="V7">
        <v>7</v>
      </c>
      <c r="W7" t="str">
        <f ca="1" t="shared" si="5"/>
        <v>C6</v>
      </c>
      <c r="X7">
        <f ca="1" t="shared" si="6"/>
        <v>0</v>
      </c>
    </row>
    <row r="8" spans="1:24">
      <c r="A8" t="s">
        <v>19</v>
      </c>
      <c r="B8">
        <v>5</v>
      </c>
      <c r="C8">
        <v>170</v>
      </c>
      <c r="D8">
        <v>78</v>
      </c>
      <c r="E8">
        <v>37</v>
      </c>
      <c r="O8">
        <f ca="1" t="shared" si="3"/>
        <v>153.807071069932</v>
      </c>
      <c r="P8">
        <f ca="1" t="shared" si="1"/>
        <v>27.3856207200462</v>
      </c>
      <c r="Q8">
        <f ca="1" t="shared" si="1"/>
        <v>104.659567168988</v>
      </c>
      <c r="R8">
        <f ca="1" t="shared" si="1"/>
        <v>89.831844746607</v>
      </c>
      <c r="S8">
        <f ca="1" t="shared" si="1"/>
        <v>33.2078304018796</v>
      </c>
      <c r="T8">
        <f ca="1" t="shared" si="1"/>
        <v>53.4892397163401</v>
      </c>
      <c r="U8" t="str">
        <f ca="1" t="shared" si="4"/>
        <v>C2</v>
      </c>
      <c r="V8">
        <v>8</v>
      </c>
      <c r="W8" t="str">
        <f ca="1" t="shared" si="5"/>
        <v>C2</v>
      </c>
      <c r="X8">
        <f ca="1" t="shared" si="6"/>
        <v>0</v>
      </c>
    </row>
    <row r="9" spans="1:24">
      <c r="A9" t="s">
        <v>20</v>
      </c>
      <c r="B9">
        <v>0</v>
      </c>
      <c r="C9">
        <v>35</v>
      </c>
      <c r="D9">
        <v>75</v>
      </c>
      <c r="E9">
        <v>7</v>
      </c>
      <c r="O9">
        <f ca="1" t="shared" si="3"/>
        <v>25.3537987510967</v>
      </c>
      <c r="P9">
        <f ca="1" t="shared" si="1"/>
        <v>130.444006718932</v>
      </c>
      <c r="Q9">
        <f ca="1" t="shared" si="1"/>
        <v>239.164430883859</v>
      </c>
      <c r="R9">
        <f ca="1" t="shared" si="1"/>
        <v>53.1963461120162</v>
      </c>
      <c r="S9">
        <f ca="1" t="shared" si="1"/>
        <v>108.170975774465</v>
      </c>
      <c r="T9">
        <f ca="1" t="shared" si="1"/>
        <v>187.456332363593</v>
      </c>
      <c r="U9" t="str">
        <f ca="1" t="shared" si="4"/>
        <v>C1</v>
      </c>
      <c r="V9">
        <v>9</v>
      </c>
      <c r="W9" t="str">
        <f ca="1" t="shared" si="5"/>
        <v>C1</v>
      </c>
      <c r="X9">
        <f ca="1" t="shared" si="6"/>
        <v>0</v>
      </c>
    </row>
    <row r="10" spans="1:24">
      <c r="A10" t="s">
        <v>21</v>
      </c>
      <c r="B10">
        <v>4</v>
      </c>
      <c r="C10">
        <v>198</v>
      </c>
      <c r="D10">
        <v>70</v>
      </c>
      <c r="E10">
        <v>15</v>
      </c>
      <c r="G10" t="s">
        <v>66</v>
      </c>
      <c r="I10" s="8">
        <f ca="1">SUM(X3:X52)</f>
        <v>1</v>
      </c>
      <c r="O10">
        <f ca="1" t="shared" si="3"/>
        <v>178.628894017115</v>
      </c>
      <c r="P10">
        <f ca="1" t="shared" si="1"/>
        <v>38.3402167732816</v>
      </c>
      <c r="Q10">
        <f ca="1" t="shared" si="1"/>
        <v>76.3945351448649</v>
      </c>
      <c r="R10">
        <f ca="1" t="shared" si="1"/>
        <v>114.39737903719</v>
      </c>
      <c r="S10">
        <f ca="1" t="shared" si="1"/>
        <v>57.394773281197</v>
      </c>
      <c r="T10">
        <f ca="1" t="shared" si="1"/>
        <v>27.5416631646773</v>
      </c>
      <c r="U10" t="str">
        <f ca="1" t="shared" si="4"/>
        <v>C6</v>
      </c>
      <c r="V10">
        <v>10</v>
      </c>
      <c r="W10" t="str">
        <f ca="1" t="shared" si="5"/>
        <v>C6</v>
      </c>
      <c r="X10">
        <f ca="1" t="shared" si="6"/>
        <v>0</v>
      </c>
    </row>
    <row r="11" spans="1:24">
      <c r="A11" t="s">
        <v>22</v>
      </c>
      <c r="B11">
        <v>13</v>
      </c>
      <c r="C11">
        <v>259</v>
      </c>
      <c r="D11">
        <v>74</v>
      </c>
      <c r="E11">
        <v>30</v>
      </c>
      <c r="O11">
        <f ca="1" t="shared" si="3"/>
        <v>240.658655452997</v>
      </c>
      <c r="P11">
        <f ca="1" t="shared" si="1"/>
        <v>97.8756296985562</v>
      </c>
      <c r="Q11">
        <f ca="1" t="shared" si="1"/>
        <v>18.3064196390228</v>
      </c>
      <c r="R11">
        <f ca="1" t="shared" si="1"/>
        <v>176.003967836566</v>
      </c>
      <c r="S11">
        <f ca="1" t="shared" si="1"/>
        <v>117.814939629913</v>
      </c>
      <c r="T11">
        <f ca="1" t="shared" si="1"/>
        <v>39.8384081689028</v>
      </c>
      <c r="U11" t="str">
        <f ca="1" t="shared" si="4"/>
        <v>C3</v>
      </c>
      <c r="V11">
        <v>11</v>
      </c>
      <c r="W11" t="str">
        <f ca="1" t="shared" si="5"/>
        <v>C3</v>
      </c>
      <c r="X11">
        <f ca="1" t="shared" si="6"/>
        <v>0</v>
      </c>
    </row>
    <row r="12" spans="1:24">
      <c r="A12" t="s">
        <v>23</v>
      </c>
      <c r="B12">
        <v>15</v>
      </c>
      <c r="C12">
        <v>136</v>
      </c>
      <c r="D12">
        <v>52</v>
      </c>
      <c r="E12">
        <v>24</v>
      </c>
      <c r="O12">
        <f ca="1" t="shared" si="3"/>
        <v>117.392625170598</v>
      </c>
      <c r="P12">
        <f ca="1" t="shared" si="1"/>
        <v>28.0233037944414</v>
      </c>
      <c r="Q12">
        <f ca="1" t="shared" si="1"/>
        <v>137.213793038455</v>
      </c>
      <c r="R12">
        <f ca="1" t="shared" si="1"/>
        <v>53.4792769009758</v>
      </c>
      <c r="S12">
        <f ca="1" t="shared" si="1"/>
        <v>31.0766793592881</v>
      </c>
      <c r="T12">
        <f ca="1" t="shared" si="1"/>
        <v>85.7871324778106</v>
      </c>
      <c r="U12" t="str">
        <f ca="1" t="shared" si="4"/>
        <v>C2</v>
      </c>
      <c r="V12">
        <v>12</v>
      </c>
      <c r="W12" t="str">
        <f ca="1" t="shared" si="5"/>
        <v>C2</v>
      </c>
      <c r="X12">
        <f ca="1" t="shared" si="6"/>
        <v>0</v>
      </c>
    </row>
    <row r="13" spans="1:24">
      <c r="A13" t="s">
        <v>24</v>
      </c>
      <c r="B13">
        <v>5</v>
      </c>
      <c r="C13">
        <v>32</v>
      </c>
      <c r="D13">
        <v>82</v>
      </c>
      <c r="E13">
        <v>17</v>
      </c>
      <c r="O13">
        <f ca="1" t="shared" si="3"/>
        <v>29.9729062840278</v>
      </c>
      <c r="P13">
        <f ca="1" t="shared" si="1"/>
        <v>133.508946849598</v>
      </c>
      <c r="Q13">
        <f ca="1" t="shared" si="1"/>
        <v>241.819405755618</v>
      </c>
      <c r="R13">
        <f ca="1" t="shared" si="1"/>
        <v>57.0066691763211</v>
      </c>
      <c r="S13">
        <f ca="1" t="shared" si="1"/>
        <v>110.059801926044</v>
      </c>
      <c r="T13">
        <f ca="1" t="shared" si="1"/>
        <v>189.924513919753</v>
      </c>
      <c r="U13" t="str">
        <f ca="1" t="shared" si="4"/>
        <v>C1</v>
      </c>
      <c r="V13">
        <v>13</v>
      </c>
      <c r="W13" t="str">
        <f ca="1" t="shared" si="5"/>
        <v>C1</v>
      </c>
      <c r="X13">
        <f ca="1" t="shared" si="6"/>
        <v>0</v>
      </c>
    </row>
    <row r="14" spans="1:24">
      <c r="A14" t="s">
        <v>25</v>
      </c>
      <c r="B14">
        <v>0</v>
      </c>
      <c r="C14">
        <v>54</v>
      </c>
      <c r="D14">
        <v>47</v>
      </c>
      <c r="E14">
        <v>12</v>
      </c>
      <c r="O14">
        <f ca="1" t="shared" si="3"/>
        <v>35.0000253968162</v>
      </c>
      <c r="P14">
        <f ca="1" t="shared" si="1"/>
        <v>110.353850056182</v>
      </c>
      <c r="Q14">
        <f ca="1" t="shared" si="1"/>
        <v>220.091174289202</v>
      </c>
      <c r="R14">
        <f ca="1" t="shared" si="1"/>
        <v>33.561833892308</v>
      </c>
      <c r="S14">
        <f ca="1" t="shared" si="1"/>
        <v>95.0061050669903</v>
      </c>
      <c r="T14">
        <f ca="1" t="shared" si="1"/>
        <v>168.579321550186</v>
      </c>
      <c r="U14" t="str">
        <f ca="1" t="shared" si="4"/>
        <v>C4</v>
      </c>
      <c r="V14">
        <v>14</v>
      </c>
      <c r="W14" t="str">
        <f ca="1" t="shared" si="5"/>
        <v>C1</v>
      </c>
      <c r="X14">
        <f ca="1" t="shared" si="6"/>
        <v>1</v>
      </c>
    </row>
    <row r="15" spans="1:24">
      <c r="A15" t="s">
        <v>26</v>
      </c>
      <c r="B15">
        <v>10</v>
      </c>
      <c r="C15">
        <v>218</v>
      </c>
      <c r="D15">
        <v>79</v>
      </c>
      <c r="E15">
        <v>20</v>
      </c>
      <c r="O15">
        <f ca="1" t="shared" si="3"/>
        <v>199.732458832086</v>
      </c>
      <c r="P15">
        <f ca="1" t="shared" si="1"/>
        <v>59.1943597162958</v>
      </c>
      <c r="Q15">
        <f ca="1" t="shared" si="1"/>
        <v>57.5771221927599</v>
      </c>
      <c r="R15">
        <f ca="1" t="shared" si="1"/>
        <v>135.380394591201</v>
      </c>
      <c r="S15">
        <f ca="1" t="shared" si="1"/>
        <v>76.0773290803509</v>
      </c>
      <c r="T15">
        <f ca="1" t="shared" si="1"/>
        <v>17.4702569111965</v>
      </c>
      <c r="U15" t="str">
        <f ca="1" t="shared" si="4"/>
        <v>C6</v>
      </c>
      <c r="V15">
        <v>15</v>
      </c>
      <c r="W15" t="str">
        <f ca="1" t="shared" si="5"/>
        <v>C6</v>
      </c>
      <c r="X15">
        <f ca="1" t="shared" si="6"/>
        <v>0</v>
      </c>
    </row>
    <row r="16" spans="1:24">
      <c r="A16" t="s">
        <v>27</v>
      </c>
      <c r="B16">
        <v>7</v>
      </c>
      <c r="C16">
        <v>26</v>
      </c>
      <c r="D16">
        <v>65</v>
      </c>
      <c r="E16">
        <v>19</v>
      </c>
      <c r="O16">
        <f ca="1" t="shared" si="3"/>
        <v>14.4836152638459</v>
      </c>
      <c r="P16">
        <f ca="1" t="shared" si="1"/>
        <v>137.283061187056</v>
      </c>
      <c r="Q16">
        <f ca="1" t="shared" si="1"/>
        <v>246.92230559429</v>
      </c>
      <c r="R16">
        <f ca="1" t="shared" si="1"/>
        <v>58.5074693260796</v>
      </c>
      <c r="S16">
        <f ca="1" t="shared" si="1"/>
        <v>117.127964210089</v>
      </c>
      <c r="T16">
        <f ca="1" t="shared" si="1"/>
        <v>194.908778916614</v>
      </c>
      <c r="U16" t="str">
        <f ca="1" t="shared" si="4"/>
        <v>C1</v>
      </c>
      <c r="V16">
        <v>16</v>
      </c>
      <c r="W16" t="str">
        <f ca="1" t="shared" si="5"/>
        <v>C1</v>
      </c>
      <c r="X16">
        <f ca="1" t="shared" si="6"/>
        <v>0</v>
      </c>
    </row>
    <row r="17" spans="1:24">
      <c r="A17" t="s">
        <v>28</v>
      </c>
      <c r="B17">
        <v>2</v>
      </c>
      <c r="C17">
        <v>0.1</v>
      </c>
      <c r="D17">
        <v>53</v>
      </c>
      <c r="E17">
        <v>9</v>
      </c>
      <c r="O17">
        <f ca="1" t="shared" si="3"/>
        <v>20.2426886663912</v>
      </c>
      <c r="P17">
        <f ca="1" t="shared" si="1"/>
        <v>163.635923792899</v>
      </c>
      <c r="Q17">
        <f ca="1" t="shared" si="1"/>
        <v>273.549968013158</v>
      </c>
      <c r="R17">
        <f ca="1" t="shared" si="1"/>
        <v>84.8872373083919</v>
      </c>
      <c r="S17">
        <f ca="1" t="shared" si="1"/>
        <v>145.163252925801</v>
      </c>
      <c r="T17">
        <f ca="1" t="shared" si="1"/>
        <v>221.804914004499</v>
      </c>
      <c r="U17" t="str">
        <f ca="1" t="shared" si="4"/>
        <v>C1</v>
      </c>
      <c r="V17">
        <v>17</v>
      </c>
      <c r="W17" t="str">
        <f ca="1" t="shared" si="5"/>
        <v>C1</v>
      </c>
      <c r="X17">
        <f ca="1" t="shared" si="6"/>
        <v>0</v>
      </c>
    </row>
    <row r="18" spans="1:24">
      <c r="A18" t="s">
        <v>29</v>
      </c>
      <c r="B18">
        <v>3</v>
      </c>
      <c r="C18">
        <v>80</v>
      </c>
      <c r="D18">
        <v>56</v>
      </c>
      <c r="E18">
        <v>16</v>
      </c>
      <c r="O18">
        <f ca="1" t="shared" si="3"/>
        <v>60.1359718563782</v>
      </c>
      <c r="P18">
        <f ca="1" t="shared" si="1"/>
        <v>83.4983366434459</v>
      </c>
      <c r="Q18">
        <f ca="1" t="shared" si="1"/>
        <v>193.343282789964</v>
      </c>
      <c r="R18">
        <f ca="1" t="shared" si="1"/>
        <v>6.18181818181819</v>
      </c>
      <c r="S18">
        <f ca="1" t="shared" si="1"/>
        <v>67.1666583953676</v>
      </c>
      <c r="T18">
        <f ca="1" t="shared" si="1"/>
        <v>141.573258966236</v>
      </c>
      <c r="U18" t="str">
        <f ca="1" t="shared" si="4"/>
        <v>C4</v>
      </c>
      <c r="V18">
        <v>18</v>
      </c>
      <c r="W18" t="str">
        <f ca="1" t="shared" si="5"/>
        <v>C4</v>
      </c>
      <c r="X18">
        <f ca="1" t="shared" si="6"/>
        <v>0</v>
      </c>
    </row>
    <row r="19" spans="1:24">
      <c r="A19" t="s">
        <v>30</v>
      </c>
      <c r="B19">
        <v>7</v>
      </c>
      <c r="C19">
        <v>70</v>
      </c>
      <c r="D19">
        <v>43</v>
      </c>
      <c r="E19">
        <v>15</v>
      </c>
      <c r="O19">
        <f ca="1" t="shared" si="3"/>
        <v>51.7940966177077</v>
      </c>
      <c r="P19">
        <f ca="1" t="shared" si="3"/>
        <v>94.350263498425</v>
      </c>
      <c r="Q19">
        <f ca="1" t="shared" si="3"/>
        <v>204.065246918725</v>
      </c>
      <c r="R19">
        <f ca="1" t="shared" si="3"/>
        <v>21.7723002425384</v>
      </c>
      <c r="S19">
        <f ca="1" t="shared" si="3"/>
        <v>81.6367564274819</v>
      </c>
      <c r="T19">
        <f ca="1" t="shared" si="3"/>
        <v>152.710651920148</v>
      </c>
      <c r="U19" t="str">
        <f ca="1" t="shared" si="4"/>
        <v>C4</v>
      </c>
      <c r="V19">
        <v>19</v>
      </c>
      <c r="W19" t="str">
        <f ca="1" t="shared" si="5"/>
        <v>C4</v>
      </c>
      <c r="X19">
        <f ca="1" t="shared" si="6"/>
        <v>0</v>
      </c>
    </row>
    <row r="20" spans="1:24">
      <c r="A20" t="s">
        <v>31</v>
      </c>
      <c r="B20">
        <v>15</v>
      </c>
      <c r="C20">
        <v>159</v>
      </c>
      <c r="D20">
        <v>61</v>
      </c>
      <c r="E20">
        <v>19</v>
      </c>
      <c r="O20">
        <f ca="1" t="shared" si="3"/>
        <v>139.897111398977</v>
      </c>
      <c r="P20">
        <f ca="1" t="shared" si="3"/>
        <v>7.76566517148116</v>
      </c>
      <c r="Q20">
        <f ca="1" t="shared" si="3"/>
        <v>114.053167426424</v>
      </c>
      <c r="R20">
        <f ca="1" t="shared" si="3"/>
        <v>75.4630334765811</v>
      </c>
      <c r="S20">
        <f ca="1" t="shared" si="3"/>
        <v>27.480174671934</v>
      </c>
      <c r="T20">
        <f ca="1" t="shared" si="3"/>
        <v>62.6825236045271</v>
      </c>
      <c r="U20" t="str">
        <f ca="1" t="shared" si="4"/>
        <v>C2</v>
      </c>
      <c r="V20">
        <v>20</v>
      </c>
      <c r="W20" t="str">
        <f ca="1" t="shared" si="5"/>
        <v>C2</v>
      </c>
      <c r="X20">
        <f ca="1" t="shared" si="6"/>
        <v>0</v>
      </c>
    </row>
    <row r="21" spans="1:24">
      <c r="A21" t="s">
        <v>32</v>
      </c>
      <c r="B21">
        <v>1</v>
      </c>
      <c r="C21">
        <v>0.1</v>
      </c>
      <c r="D21">
        <v>45</v>
      </c>
      <c r="E21">
        <v>7</v>
      </c>
      <c r="O21">
        <f ca="1" t="shared" si="3"/>
        <v>22.911273304739</v>
      </c>
      <c r="P21">
        <f ca="1" t="shared" si="3"/>
        <v>164.251987980528</v>
      </c>
      <c r="Q21">
        <f ca="1" t="shared" si="3"/>
        <v>274.116918485525</v>
      </c>
      <c r="R21">
        <f ca="1" t="shared" si="3"/>
        <v>86.1189840946095</v>
      </c>
      <c r="S21">
        <f ca="1" t="shared" si="3"/>
        <v>147.125014868309</v>
      </c>
      <c r="T21">
        <f ca="1" t="shared" si="3"/>
        <v>222.559799427003</v>
      </c>
      <c r="U21" t="str">
        <f ca="1" t="shared" si="4"/>
        <v>C1</v>
      </c>
      <c r="V21">
        <v>21</v>
      </c>
      <c r="W21" t="str">
        <f ca="1" t="shared" si="5"/>
        <v>C1</v>
      </c>
      <c r="X21">
        <f ca="1" t="shared" si="6"/>
        <v>0</v>
      </c>
    </row>
    <row r="22" spans="1:24">
      <c r="A22" t="s">
        <v>33</v>
      </c>
      <c r="B22">
        <v>10</v>
      </c>
      <c r="C22">
        <v>260</v>
      </c>
      <c r="D22">
        <v>63</v>
      </c>
      <c r="E22">
        <v>28</v>
      </c>
      <c r="O22">
        <f ca="1" t="shared" si="3"/>
        <v>240.782921136677</v>
      </c>
      <c r="P22">
        <f ca="1" t="shared" si="3"/>
        <v>97.3925333665551</v>
      </c>
      <c r="Q22">
        <f ca="1" t="shared" si="3"/>
        <v>12.9663024798899</v>
      </c>
      <c r="R22">
        <f ca="1" t="shared" si="3"/>
        <v>176.186462083463</v>
      </c>
      <c r="S22">
        <f ca="1" t="shared" si="3"/>
        <v>119.718670223153</v>
      </c>
      <c r="T22">
        <f ca="1" t="shared" si="3"/>
        <v>39.3487101142378</v>
      </c>
      <c r="U22" t="str">
        <f ca="1" t="shared" si="4"/>
        <v>C3</v>
      </c>
      <c r="V22">
        <v>22</v>
      </c>
      <c r="W22" t="str">
        <f ca="1" t="shared" si="5"/>
        <v>C3</v>
      </c>
      <c r="X22">
        <f ca="1" t="shared" si="6"/>
        <v>0</v>
      </c>
    </row>
    <row r="23" spans="1:24">
      <c r="A23" t="s">
        <v>34</v>
      </c>
      <c r="B23">
        <v>2</v>
      </c>
      <c r="C23">
        <v>138</v>
      </c>
      <c r="D23">
        <v>82</v>
      </c>
      <c r="E23">
        <v>13</v>
      </c>
      <c r="O23">
        <f ca="1" t="shared" si="3"/>
        <v>120.985130399474</v>
      </c>
      <c r="P23">
        <f ca="1" t="shared" si="3"/>
        <v>37.1569494023512</v>
      </c>
      <c r="Q23">
        <f ca="1" t="shared" si="3"/>
        <v>137.168236119008</v>
      </c>
      <c r="R23">
        <f ca="1" t="shared" si="3"/>
        <v>58.8328631389291</v>
      </c>
      <c r="S23">
        <f ca="1" t="shared" si="3"/>
        <v>9.45304183847718</v>
      </c>
      <c r="T23">
        <f ca="1" t="shared" si="3"/>
        <v>86.3268265816271</v>
      </c>
      <c r="U23" t="str">
        <f ca="1" t="shared" si="4"/>
        <v>C5</v>
      </c>
      <c r="V23">
        <v>23</v>
      </c>
      <c r="W23" t="str">
        <f ca="1" t="shared" si="5"/>
        <v>C5</v>
      </c>
      <c r="X23">
        <f ca="1" t="shared" si="6"/>
        <v>0</v>
      </c>
    </row>
    <row r="24" spans="1:24">
      <c r="A24" t="s">
        <v>35</v>
      </c>
      <c r="B24">
        <v>11</v>
      </c>
      <c r="C24">
        <v>251</v>
      </c>
      <c r="D24">
        <v>68</v>
      </c>
      <c r="E24">
        <v>35</v>
      </c>
      <c r="O24">
        <f ca="1" t="shared" si="3"/>
        <v>232.667004775304</v>
      </c>
      <c r="P24">
        <f ca="1" t="shared" si="3"/>
        <v>89.6900527124137</v>
      </c>
      <c r="Q24">
        <f ca="1" t="shared" si="3"/>
        <v>24.0026040253969</v>
      </c>
      <c r="R24">
        <f ca="1" t="shared" si="3"/>
        <v>167.976828390207</v>
      </c>
      <c r="S24">
        <f ca="1" t="shared" si="3"/>
        <v>110.929527178295</v>
      </c>
      <c r="T24">
        <f ca="1" t="shared" si="3"/>
        <v>31.366806391628</v>
      </c>
      <c r="U24" t="str">
        <f ca="1" t="shared" si="4"/>
        <v>C3</v>
      </c>
      <c r="V24">
        <v>24</v>
      </c>
      <c r="W24" t="str">
        <f ca="1" t="shared" si="5"/>
        <v>C3</v>
      </c>
      <c r="X24">
        <f ca="1" t="shared" si="6"/>
        <v>0</v>
      </c>
    </row>
    <row r="25" spans="1:24">
      <c r="A25" t="s">
        <v>36</v>
      </c>
      <c r="B25">
        <v>1</v>
      </c>
      <c r="C25">
        <v>3</v>
      </c>
      <c r="D25">
        <v>62</v>
      </c>
      <c r="E25">
        <v>14</v>
      </c>
      <c r="O25">
        <f ca="1" t="shared" si="3"/>
        <v>18.4868000956839</v>
      </c>
      <c r="P25">
        <f ca="1" t="shared" si="3"/>
        <v>160.510556939065</v>
      </c>
      <c r="Q25">
        <f ca="1" t="shared" si="3"/>
        <v>270.253815884254</v>
      </c>
      <c r="R25">
        <f ca="1" t="shared" si="3"/>
        <v>81.4679879329988</v>
      </c>
      <c r="S25">
        <f ca="1" t="shared" si="3"/>
        <v>140.577238555891</v>
      </c>
      <c r="T25">
        <f ca="1" t="shared" si="3"/>
        <v>218.309639653021</v>
      </c>
      <c r="U25" t="str">
        <f ca="1" t="shared" si="4"/>
        <v>C1</v>
      </c>
      <c r="V25">
        <v>25</v>
      </c>
      <c r="W25" t="str">
        <f ca="1" t="shared" si="5"/>
        <v>C1</v>
      </c>
      <c r="X25">
        <f ca="1" t="shared" si="6"/>
        <v>0</v>
      </c>
    </row>
    <row r="26" spans="1:24">
      <c r="A26" t="s">
        <v>37</v>
      </c>
      <c r="B26">
        <v>13</v>
      </c>
      <c r="C26">
        <v>209</v>
      </c>
      <c r="D26">
        <v>44</v>
      </c>
      <c r="E26">
        <v>13</v>
      </c>
      <c r="O26">
        <f ca="1" t="shared" si="3"/>
        <v>189.635057705877</v>
      </c>
      <c r="P26">
        <f ca="1" t="shared" si="3"/>
        <v>48.678936809352</v>
      </c>
      <c r="Q26">
        <f ca="1" t="shared" si="3"/>
        <v>67.7504612530424</v>
      </c>
      <c r="R26">
        <f ca="1" t="shared" si="3"/>
        <v>126.072981618644</v>
      </c>
      <c r="S26">
        <f ca="1" t="shared" si="3"/>
        <v>77.1217219724767</v>
      </c>
      <c r="T26">
        <f ca="1" t="shared" si="3"/>
        <v>27.9183111732324</v>
      </c>
      <c r="U26" t="str">
        <f ca="1" t="shared" si="4"/>
        <v>C6</v>
      </c>
      <c r="V26">
        <v>26</v>
      </c>
      <c r="W26" t="str">
        <f ca="1" t="shared" si="5"/>
        <v>C6</v>
      </c>
      <c r="X26">
        <f ca="1" t="shared" si="6"/>
        <v>0</v>
      </c>
    </row>
    <row r="27" spans="1:24">
      <c r="A27" t="s">
        <v>38</v>
      </c>
      <c r="B27">
        <v>8</v>
      </c>
      <c r="C27">
        <v>80</v>
      </c>
      <c r="D27">
        <v>61</v>
      </c>
      <c r="E27">
        <v>28</v>
      </c>
      <c r="O27">
        <f ca="1" t="shared" si="3"/>
        <v>62.6923847936184</v>
      </c>
      <c r="P27">
        <f ca="1" t="shared" si="3"/>
        <v>83.3704917155278</v>
      </c>
      <c r="Q27">
        <f ca="1" t="shared" si="3"/>
        <v>192.798145737971</v>
      </c>
      <c r="R27">
        <f ca="1" t="shared" si="3"/>
        <v>10.9973700838123</v>
      </c>
      <c r="S27">
        <f ca="1" t="shared" si="3"/>
        <v>65.749220527699</v>
      </c>
      <c r="T27">
        <f ca="1" t="shared" si="3"/>
        <v>140.704137540399</v>
      </c>
      <c r="U27" t="str">
        <f ca="1" t="shared" si="4"/>
        <v>C4</v>
      </c>
      <c r="V27">
        <v>27</v>
      </c>
      <c r="W27" t="str">
        <f ca="1" t="shared" si="5"/>
        <v>C4</v>
      </c>
      <c r="X27">
        <f ca="1" t="shared" si="6"/>
        <v>0</v>
      </c>
    </row>
    <row r="28" spans="1:24">
      <c r="A28" t="s">
        <v>39</v>
      </c>
      <c r="B28">
        <v>5</v>
      </c>
      <c r="C28">
        <v>19</v>
      </c>
      <c r="D28">
        <v>45</v>
      </c>
      <c r="E28">
        <v>15</v>
      </c>
      <c r="O28">
        <f ca="1" t="shared" si="3"/>
        <v>11.1834003972157</v>
      </c>
      <c r="P28">
        <f ca="1" t="shared" si="3"/>
        <v>144.75141526846</v>
      </c>
      <c r="Q28">
        <f ca="1" t="shared" si="3"/>
        <v>254.702031794016</v>
      </c>
      <c r="R28">
        <f ca="1" t="shared" si="3"/>
        <v>66.773268764436</v>
      </c>
      <c r="S28">
        <f ca="1" t="shared" si="3"/>
        <v>128.321315454604</v>
      </c>
      <c r="T28">
        <f ca="1" t="shared" si="3"/>
        <v>203.036364802217</v>
      </c>
      <c r="U28" t="str">
        <f ca="1" t="shared" si="4"/>
        <v>C1</v>
      </c>
      <c r="V28">
        <v>28</v>
      </c>
      <c r="W28" t="str">
        <f ca="1" t="shared" si="5"/>
        <v>C1</v>
      </c>
      <c r="X28">
        <f ca="1" t="shared" si="6"/>
        <v>0</v>
      </c>
    </row>
    <row r="29" spans="1:24">
      <c r="A29" t="s">
        <v>40</v>
      </c>
      <c r="B29">
        <v>4</v>
      </c>
      <c r="C29">
        <v>10</v>
      </c>
      <c r="D29">
        <v>56</v>
      </c>
      <c r="E29">
        <v>13</v>
      </c>
      <c r="O29">
        <f ca="1" t="shared" si="3"/>
        <v>10.3493209653795</v>
      </c>
      <c r="P29">
        <f ca="1" t="shared" si="3"/>
        <v>153.364399026922</v>
      </c>
      <c r="Q29">
        <f ca="1" t="shared" si="3"/>
        <v>263.290951230763</v>
      </c>
      <c r="R29">
        <f ca="1" t="shared" si="3"/>
        <v>74.4521589139103</v>
      </c>
      <c r="S29">
        <f ca="1" t="shared" si="3"/>
        <v>134.588855407868</v>
      </c>
      <c r="T29">
        <f ca="1" t="shared" si="3"/>
        <v>211.441320698593</v>
      </c>
      <c r="U29" t="str">
        <f ca="1" t="shared" si="4"/>
        <v>C1</v>
      </c>
      <c r="V29">
        <v>29</v>
      </c>
      <c r="W29" t="str">
        <f ca="1" t="shared" si="5"/>
        <v>C1</v>
      </c>
      <c r="X29">
        <f ca="1" t="shared" si="6"/>
        <v>0</v>
      </c>
    </row>
    <row r="30" spans="1:24">
      <c r="A30" t="s">
        <v>41</v>
      </c>
      <c r="B30">
        <v>11</v>
      </c>
      <c r="C30">
        <v>239</v>
      </c>
      <c r="D30">
        <v>75</v>
      </c>
      <c r="E30">
        <v>43</v>
      </c>
      <c r="O30">
        <f ca="1" t="shared" si="3"/>
        <v>222.256552459339</v>
      </c>
      <c r="P30">
        <f ca="1" t="shared" si="3"/>
        <v>80.9751333572364</v>
      </c>
      <c r="Q30">
        <f ca="1" t="shared" si="3"/>
        <v>39.5995580783422</v>
      </c>
      <c r="R30">
        <f ca="1" t="shared" si="3"/>
        <v>157.672088853119</v>
      </c>
      <c r="S30">
        <f ca="1" t="shared" si="3"/>
        <v>100.039792082951</v>
      </c>
      <c r="T30">
        <f ca="1" t="shared" si="3"/>
        <v>26.0211215252552</v>
      </c>
      <c r="U30" t="str">
        <f ca="1" t="shared" si="4"/>
        <v>C6</v>
      </c>
      <c r="V30">
        <v>30</v>
      </c>
      <c r="W30" t="str">
        <f ca="1" t="shared" si="5"/>
        <v>C6</v>
      </c>
      <c r="X30">
        <f ca="1" t="shared" si="6"/>
        <v>0</v>
      </c>
    </row>
    <row r="31" spans="1:24">
      <c r="A31" t="s">
        <v>42</v>
      </c>
      <c r="B31">
        <v>0</v>
      </c>
      <c r="C31">
        <v>0.1</v>
      </c>
      <c r="D31">
        <v>53</v>
      </c>
      <c r="E31">
        <v>6</v>
      </c>
      <c r="O31">
        <f ca="1" t="shared" si="3"/>
        <v>20.9543896223308</v>
      </c>
      <c r="P31">
        <f ca="1" t="shared" si="3"/>
        <v>164.004214038</v>
      </c>
      <c r="Q31">
        <f ca="1" t="shared" si="3"/>
        <v>273.83678533024</v>
      </c>
      <c r="R31">
        <f ca="1" t="shared" si="3"/>
        <v>85.3725917463421</v>
      </c>
      <c r="S31">
        <f ca="1" t="shared" si="3"/>
        <v>145.501099652202</v>
      </c>
      <c r="T31">
        <f ca="1" t="shared" si="3"/>
        <v>222.162547821006</v>
      </c>
      <c r="U31" t="str">
        <f ca="1" t="shared" si="4"/>
        <v>C1</v>
      </c>
      <c r="V31">
        <v>31</v>
      </c>
      <c r="W31" t="str">
        <f ca="1" t="shared" si="5"/>
        <v>C1</v>
      </c>
      <c r="X31">
        <f ca="1" t="shared" si="6"/>
        <v>0</v>
      </c>
    </row>
    <row r="32" spans="1:24">
      <c r="A32" t="s">
        <v>43</v>
      </c>
      <c r="B32">
        <v>5</v>
      </c>
      <c r="C32">
        <v>155</v>
      </c>
      <c r="D32">
        <v>87</v>
      </c>
      <c r="E32">
        <v>19</v>
      </c>
      <c r="O32">
        <f ca="1" t="shared" si="3"/>
        <v>138.890658833167</v>
      </c>
      <c r="P32">
        <f ca="1" t="shared" si="3"/>
        <v>31.4161140534953</v>
      </c>
      <c r="Q32">
        <f ca="1" t="shared" si="3"/>
        <v>120.694345352216</v>
      </c>
      <c r="R32">
        <f ca="1" t="shared" si="3"/>
        <v>76.1227260513416</v>
      </c>
      <c r="S32">
        <f ca="1" t="shared" si="3"/>
        <v>14.4485293369256</v>
      </c>
      <c r="T32">
        <f ca="1" t="shared" si="3"/>
        <v>70.3782549189172</v>
      </c>
      <c r="U32" t="str">
        <f ca="1" t="shared" si="4"/>
        <v>C5</v>
      </c>
      <c r="V32">
        <v>32</v>
      </c>
      <c r="W32" t="str">
        <f ca="1" t="shared" si="5"/>
        <v>C5</v>
      </c>
      <c r="X32">
        <f ca="1" t="shared" si="6"/>
        <v>0</v>
      </c>
    </row>
    <row r="33" spans="1:24">
      <c r="A33" t="s">
        <v>44</v>
      </c>
      <c r="B33">
        <v>12</v>
      </c>
      <c r="C33">
        <v>229</v>
      </c>
      <c r="D33">
        <v>64</v>
      </c>
      <c r="E33">
        <v>32</v>
      </c>
      <c r="O33">
        <f ca="1" t="shared" si="3"/>
        <v>210.375256255208</v>
      </c>
      <c r="P33">
        <f ca="1" t="shared" si="3"/>
        <v>67.2034638657529</v>
      </c>
      <c r="Q33">
        <f ca="1" t="shared" si="3"/>
        <v>44.1205734323569</v>
      </c>
      <c r="R33">
        <f ca="1" t="shared" si="3"/>
        <v>145.692816206616</v>
      </c>
      <c r="S33">
        <f ca="1" t="shared" si="3"/>
        <v>89.6647087766419</v>
      </c>
      <c r="T33">
        <f ca="1" t="shared" si="3"/>
        <v>9.45685459153477</v>
      </c>
      <c r="U33" t="str">
        <f ca="1" t="shared" si="4"/>
        <v>C6</v>
      </c>
      <c r="V33">
        <v>33</v>
      </c>
      <c r="W33" t="str">
        <f ca="1" t="shared" si="5"/>
        <v>C6</v>
      </c>
      <c r="X33">
        <f ca="1" t="shared" si="6"/>
        <v>0</v>
      </c>
    </row>
    <row r="34" spans="1:24">
      <c r="A34" t="s">
        <v>45</v>
      </c>
      <c r="B34">
        <v>9</v>
      </c>
      <c r="C34">
        <v>161</v>
      </c>
      <c r="D34">
        <v>85</v>
      </c>
      <c r="E34">
        <v>23</v>
      </c>
      <c r="O34">
        <f ca="1" t="shared" si="3"/>
        <v>144.698497266251</v>
      </c>
      <c r="P34">
        <f ca="1" t="shared" si="3"/>
        <v>27.9697256968236</v>
      </c>
      <c r="Q34">
        <f ca="1" t="shared" si="3"/>
        <v>114.07946791601</v>
      </c>
      <c r="R34">
        <f ca="1" t="shared" si="3"/>
        <v>81.2836579999402</v>
      </c>
      <c r="S34">
        <f ca="1" t="shared" si="3"/>
        <v>19.7372743812311</v>
      </c>
      <c r="T34">
        <f ca="1" t="shared" si="3"/>
        <v>63.5171795561282</v>
      </c>
      <c r="U34" t="str">
        <f ca="1" t="shared" si="4"/>
        <v>C5</v>
      </c>
      <c r="V34">
        <v>34</v>
      </c>
      <c r="W34" t="str">
        <f ca="1" t="shared" si="5"/>
        <v>C5</v>
      </c>
      <c r="X34">
        <f ca="1" t="shared" si="6"/>
        <v>0</v>
      </c>
    </row>
    <row r="35" spans="1:24">
      <c r="A35" t="s">
        <v>46</v>
      </c>
      <c r="B35">
        <v>13</v>
      </c>
      <c r="C35">
        <v>321</v>
      </c>
      <c r="D35">
        <v>45</v>
      </c>
      <c r="E35">
        <v>13</v>
      </c>
      <c r="O35">
        <f ca="1" t="shared" si="3"/>
        <v>301.353748570974</v>
      </c>
      <c r="P35">
        <f ca="1" t="shared" si="3"/>
        <v>158.720841591631</v>
      </c>
      <c r="Q35">
        <f ca="1" t="shared" si="3"/>
        <v>53.0860151075592</v>
      </c>
      <c r="R35">
        <f ca="1" t="shared" si="3"/>
        <v>237.420486907313</v>
      </c>
      <c r="S35">
        <f ca="1" t="shared" si="3"/>
        <v>182.828772352713</v>
      </c>
      <c r="T35">
        <f ca="1" t="shared" si="3"/>
        <v>103.302086076005</v>
      </c>
      <c r="U35" t="str">
        <f ca="1" t="shared" si="4"/>
        <v>C3</v>
      </c>
      <c r="V35">
        <v>35</v>
      </c>
      <c r="W35" t="str">
        <f ca="1" t="shared" si="5"/>
        <v>C3</v>
      </c>
      <c r="X35">
        <f ca="1" t="shared" si="6"/>
        <v>0</v>
      </c>
    </row>
    <row r="36" spans="1:24">
      <c r="A36" t="s">
        <v>47</v>
      </c>
      <c r="B36">
        <v>0.1</v>
      </c>
      <c r="C36">
        <v>27</v>
      </c>
      <c r="D36">
        <v>44</v>
      </c>
      <c r="E36">
        <v>6</v>
      </c>
      <c r="O36">
        <f ca="1" t="shared" si="3"/>
        <v>14.5215625115818</v>
      </c>
      <c r="P36">
        <f ca="1" t="shared" si="3"/>
        <v>137.880197595191</v>
      </c>
      <c r="Q36">
        <f ca="1" t="shared" si="3"/>
        <v>247.570767660481</v>
      </c>
      <c r="R36">
        <f ca="1" t="shared" si="3"/>
        <v>60.6470216883684</v>
      </c>
      <c r="S36">
        <f ca="1" t="shared" si="3"/>
        <v>121.848635609924</v>
      </c>
      <c r="T36">
        <f ca="1" t="shared" si="3"/>
        <v>196.184714233208</v>
      </c>
      <c r="U36" t="str">
        <f ca="1" t="shared" si="4"/>
        <v>C1</v>
      </c>
      <c r="V36">
        <v>36</v>
      </c>
      <c r="W36" t="str">
        <f ca="1" t="shared" si="5"/>
        <v>C1</v>
      </c>
      <c r="X36">
        <f ca="1" t="shared" si="6"/>
        <v>0</v>
      </c>
    </row>
    <row r="37" spans="1:24">
      <c r="A37" t="s">
        <v>48</v>
      </c>
      <c r="B37">
        <v>8</v>
      </c>
      <c r="C37">
        <v>119</v>
      </c>
      <c r="D37">
        <v>73</v>
      </c>
      <c r="E37">
        <v>18</v>
      </c>
      <c r="O37">
        <f ca="1" t="shared" si="3"/>
        <v>100.937877484674</v>
      </c>
      <c r="P37">
        <f ca="1" t="shared" si="3"/>
        <v>46.9429322570383</v>
      </c>
      <c r="Q37">
        <f ca="1" t="shared" si="3"/>
        <v>154.387904318959</v>
      </c>
      <c r="R37">
        <f ca="1" t="shared" si="3"/>
        <v>37.5879134785295</v>
      </c>
      <c r="S37">
        <f ca="1" t="shared" si="3"/>
        <v>24.4777449941779</v>
      </c>
      <c r="T37">
        <f ca="1" t="shared" si="3"/>
        <v>102.605982546443</v>
      </c>
      <c r="U37" t="str">
        <f ca="1" t="shared" si="4"/>
        <v>C5</v>
      </c>
      <c r="V37">
        <v>37</v>
      </c>
      <c r="W37" t="str">
        <f ca="1" t="shared" si="5"/>
        <v>C5</v>
      </c>
      <c r="X37">
        <f ca="1" t="shared" si="6"/>
        <v>0</v>
      </c>
    </row>
    <row r="38" spans="1:24">
      <c r="A38" t="s">
        <v>49</v>
      </c>
      <c r="B38">
        <v>4</v>
      </c>
      <c r="C38">
        <v>116</v>
      </c>
      <c r="D38">
        <v>59</v>
      </c>
      <c r="E38">
        <v>20</v>
      </c>
      <c r="O38">
        <f ca="1" t="shared" si="3"/>
        <v>96.4212378634039</v>
      </c>
      <c r="P38">
        <f ca="1" t="shared" si="3"/>
        <v>47.461973082552</v>
      </c>
      <c r="Q38">
        <f ca="1" t="shared" si="3"/>
        <v>157.115005648729</v>
      </c>
      <c r="R38">
        <f ca="1" t="shared" si="3"/>
        <v>31.8895303941643</v>
      </c>
      <c r="S38">
        <f ca="1" t="shared" si="3"/>
        <v>34.3592782229196</v>
      </c>
      <c r="T38">
        <f ca="1" t="shared" si="3"/>
        <v>105.252547548419</v>
      </c>
      <c r="U38" t="str">
        <f ca="1" t="shared" si="4"/>
        <v>C4</v>
      </c>
      <c r="V38">
        <v>38</v>
      </c>
      <c r="W38" t="str">
        <f ca="1" t="shared" si="5"/>
        <v>C4</v>
      </c>
      <c r="X38">
        <f ca="1" t="shared" si="6"/>
        <v>0</v>
      </c>
    </row>
    <row r="39" spans="1:24">
      <c r="A39" t="s">
        <v>50</v>
      </c>
      <c r="B39">
        <v>4</v>
      </c>
      <c r="C39">
        <v>103</v>
      </c>
      <c r="D39">
        <v>58</v>
      </c>
      <c r="E39">
        <v>29</v>
      </c>
      <c r="O39">
        <f ca="1" t="shared" si="3"/>
        <v>84.810072777026</v>
      </c>
      <c r="P39">
        <f ca="1" t="shared" si="3"/>
        <v>60.7862831749254</v>
      </c>
      <c r="Q39">
        <f ca="1" t="shared" si="3"/>
        <v>170.004779344582</v>
      </c>
      <c r="R39">
        <f ca="1" t="shared" si="3"/>
        <v>21.6865346499612</v>
      </c>
      <c r="S39">
        <f ca="1" t="shared" si="3"/>
        <v>46.4667623145835</v>
      </c>
      <c r="T39">
        <f ca="1" t="shared" si="3"/>
        <v>117.941552798593</v>
      </c>
      <c r="U39" t="str">
        <f ca="1" t="shared" si="4"/>
        <v>C4</v>
      </c>
      <c r="V39">
        <v>39</v>
      </c>
      <c r="W39" t="str">
        <f ca="1" t="shared" si="5"/>
        <v>C4</v>
      </c>
      <c r="X39">
        <f ca="1" t="shared" si="6"/>
        <v>0</v>
      </c>
    </row>
    <row r="40" spans="1:24">
      <c r="A40" t="s">
        <v>51</v>
      </c>
      <c r="B40">
        <v>4</v>
      </c>
      <c r="C40">
        <v>57</v>
      </c>
      <c r="D40">
        <v>67</v>
      </c>
      <c r="E40">
        <v>13</v>
      </c>
      <c r="O40">
        <f ca="1" t="shared" si="3"/>
        <v>38.8870386861455</v>
      </c>
      <c r="P40">
        <f ca="1" t="shared" si="3"/>
        <v>106.971829105715</v>
      </c>
      <c r="Q40">
        <f ca="1" t="shared" si="3"/>
        <v>216.357632174139</v>
      </c>
      <c r="R40">
        <f ca="1" t="shared" si="3"/>
        <v>28.8449832354127</v>
      </c>
      <c r="S40">
        <f ca="1" t="shared" si="3"/>
        <v>86.4971675836845</v>
      </c>
      <c r="T40">
        <f ca="1" t="shared" si="3"/>
        <v>164.50291753201</v>
      </c>
      <c r="U40" t="str">
        <f ca="1" t="shared" si="4"/>
        <v>C4</v>
      </c>
      <c r="V40">
        <v>40</v>
      </c>
      <c r="W40" t="str">
        <f ca="1" t="shared" si="5"/>
        <v>C4</v>
      </c>
      <c r="X40">
        <f ca="1" t="shared" si="6"/>
        <v>0</v>
      </c>
    </row>
    <row r="41" spans="1:24">
      <c r="A41" t="s">
        <v>52</v>
      </c>
      <c r="B41">
        <v>2</v>
      </c>
      <c r="C41">
        <v>97</v>
      </c>
      <c r="D41">
        <v>83</v>
      </c>
      <c r="E41">
        <v>5</v>
      </c>
      <c r="O41">
        <f ca="1" t="shared" si="3"/>
        <v>82.1217903144132</v>
      </c>
      <c r="P41">
        <f ca="1" t="shared" si="3"/>
        <v>73.2277649225726</v>
      </c>
      <c r="Q41">
        <f ca="1" t="shared" si="3"/>
        <v>178.509453531179</v>
      </c>
      <c r="R41">
        <f ca="1" t="shared" si="3"/>
        <v>30.4278037273383</v>
      </c>
      <c r="S41">
        <f ca="1" t="shared" si="3"/>
        <v>47.650393492604</v>
      </c>
      <c r="T41">
        <f ca="1" t="shared" si="3"/>
        <v>127.508992662779</v>
      </c>
      <c r="U41" t="str">
        <f ca="1" t="shared" si="4"/>
        <v>C4</v>
      </c>
      <c r="V41">
        <v>41</v>
      </c>
      <c r="W41" t="str">
        <f ca="1" t="shared" si="5"/>
        <v>C4</v>
      </c>
      <c r="X41">
        <f ca="1" t="shared" si="6"/>
        <v>0</v>
      </c>
    </row>
    <row r="42" spans="1:24">
      <c r="A42" t="s">
        <v>53</v>
      </c>
      <c r="B42">
        <v>13</v>
      </c>
      <c r="C42">
        <v>210</v>
      </c>
      <c r="D42">
        <v>46</v>
      </c>
      <c r="E42">
        <v>21</v>
      </c>
      <c r="O42">
        <f ca="1" t="shared" si="3"/>
        <v>190.742763369355</v>
      </c>
      <c r="P42">
        <f ca="1" t="shared" si="3"/>
        <v>48.3939275345804</v>
      </c>
      <c r="Q42">
        <f ca="1" t="shared" si="3"/>
        <v>65.127759058638</v>
      </c>
      <c r="R42">
        <f ca="1" t="shared" si="3"/>
        <v>126.75508368373</v>
      </c>
      <c r="S42">
        <f ca="1" t="shared" si="3"/>
        <v>76.7877594412026</v>
      </c>
      <c r="T42">
        <f ca="1" t="shared" si="3"/>
        <v>22.3653722648028</v>
      </c>
      <c r="U42" t="str">
        <f ca="1" t="shared" si="4"/>
        <v>C6</v>
      </c>
      <c r="V42">
        <v>42</v>
      </c>
      <c r="W42" t="str">
        <f ca="1" t="shared" si="5"/>
        <v>C6</v>
      </c>
      <c r="X42">
        <f ca="1" t="shared" si="6"/>
        <v>0</v>
      </c>
    </row>
    <row r="43" spans="1:24">
      <c r="A43" t="s">
        <v>54</v>
      </c>
      <c r="B43">
        <v>3</v>
      </c>
      <c r="C43">
        <v>1</v>
      </c>
      <c r="D43">
        <v>43</v>
      </c>
      <c r="E43">
        <v>12</v>
      </c>
      <c r="O43">
        <f ca="1" t="shared" si="3"/>
        <v>22.6306969500377</v>
      </c>
      <c r="P43">
        <f ca="1" t="shared" si="3"/>
        <v>163.053075884988</v>
      </c>
      <c r="Q43">
        <f ca="1" t="shared" si="3"/>
        <v>272.974586729241</v>
      </c>
      <c r="R43">
        <f ca="1" t="shared" si="3"/>
        <v>84.99538149825</v>
      </c>
      <c r="S43">
        <f ca="1" t="shared" si="3"/>
        <v>146.34671161321</v>
      </c>
      <c r="T43">
        <f ca="1" t="shared" si="3"/>
        <v>221.355141718985</v>
      </c>
      <c r="U43" t="str">
        <f ca="1" t="shared" si="4"/>
        <v>C1</v>
      </c>
      <c r="V43">
        <v>43</v>
      </c>
      <c r="W43" t="str">
        <f ca="1" t="shared" si="5"/>
        <v>C1</v>
      </c>
      <c r="X43">
        <f ca="1" t="shared" si="6"/>
        <v>0</v>
      </c>
    </row>
    <row r="44" spans="1:24">
      <c r="A44" t="s">
        <v>55</v>
      </c>
      <c r="B44">
        <v>14</v>
      </c>
      <c r="C44">
        <v>96</v>
      </c>
      <c r="D44">
        <v>58</v>
      </c>
      <c r="E44">
        <v>27</v>
      </c>
      <c r="O44">
        <f ca="1" t="shared" si="3"/>
        <v>78.4711525197494</v>
      </c>
      <c r="P44">
        <f ca="1" t="shared" si="3"/>
        <v>67.3397274191757</v>
      </c>
      <c r="Q44">
        <f ca="1" t="shared" si="3"/>
        <v>176.822297802059</v>
      </c>
      <c r="R44">
        <f ca="1" t="shared" si="3"/>
        <v>17.0303569502004</v>
      </c>
      <c r="S44">
        <f ca="1" t="shared" si="3"/>
        <v>52.464845372878</v>
      </c>
      <c r="T44">
        <f ca="1" t="shared" si="3"/>
        <v>124.895907276103</v>
      </c>
      <c r="U44" t="str">
        <f ca="1" t="shared" si="4"/>
        <v>C4</v>
      </c>
      <c r="V44">
        <v>44</v>
      </c>
      <c r="W44" t="str">
        <f ca="1" t="shared" si="5"/>
        <v>C4</v>
      </c>
      <c r="X44">
        <f ca="1" t="shared" si="6"/>
        <v>0</v>
      </c>
    </row>
    <row r="45" spans="1:24">
      <c r="A45" t="s">
        <v>56</v>
      </c>
      <c r="B45">
        <v>13</v>
      </c>
      <c r="C45">
        <v>137</v>
      </c>
      <c r="D45">
        <v>79</v>
      </c>
      <c r="E45">
        <v>25</v>
      </c>
      <c r="O45">
        <f ca="1" t="shared" si="3"/>
        <v>120.611339065243</v>
      </c>
      <c r="P45">
        <f ca="1" t="shared" si="3"/>
        <v>34.2486820508793</v>
      </c>
      <c r="Q45">
        <f ca="1" t="shared" si="3"/>
        <v>136.763024973858</v>
      </c>
      <c r="R45">
        <f ca="1" t="shared" si="3"/>
        <v>57.3453363692793</v>
      </c>
      <c r="S45">
        <f ca="1" t="shared" si="3"/>
        <v>9.50578771065292</v>
      </c>
      <c r="T45">
        <f ca="1" t="shared" si="3"/>
        <v>85.1599076828011</v>
      </c>
      <c r="U45" t="str">
        <f ca="1" t="shared" si="4"/>
        <v>C5</v>
      </c>
      <c r="V45">
        <v>45</v>
      </c>
      <c r="W45" t="str">
        <f ca="1" t="shared" si="5"/>
        <v>C5</v>
      </c>
      <c r="X45">
        <f ca="1" t="shared" si="6"/>
        <v>0</v>
      </c>
    </row>
    <row r="46" spans="1:24">
      <c r="A46" t="s">
        <v>57</v>
      </c>
      <c r="B46">
        <v>0</v>
      </c>
      <c r="C46">
        <v>49</v>
      </c>
      <c r="D46">
        <v>74</v>
      </c>
      <c r="E46">
        <v>21</v>
      </c>
      <c r="O46">
        <f ca="1" t="shared" si="3"/>
        <v>35.7920164903354</v>
      </c>
      <c r="P46">
        <f ca="1" t="shared" si="3"/>
        <v>115.684796849985</v>
      </c>
      <c r="Q46">
        <f ca="1" t="shared" si="3"/>
        <v>224.4206429899</v>
      </c>
      <c r="R46">
        <f ca="1" t="shared" si="3"/>
        <v>38.6750608348392</v>
      </c>
      <c r="S46">
        <f ca="1" t="shared" si="3"/>
        <v>93.581835844356</v>
      </c>
      <c r="T46">
        <f ca="1" t="shared" si="3"/>
        <v>172.379390650355</v>
      </c>
      <c r="U46" t="str">
        <f ca="1" t="shared" si="4"/>
        <v>C1</v>
      </c>
      <c r="V46">
        <v>46</v>
      </c>
      <c r="W46" t="str">
        <f ca="1" t="shared" si="5"/>
        <v>C1</v>
      </c>
      <c r="X46">
        <f ca="1" t="shared" si="6"/>
        <v>0</v>
      </c>
    </row>
    <row r="47" spans="1:24">
      <c r="A47" t="s">
        <v>58</v>
      </c>
      <c r="B47">
        <v>0.1</v>
      </c>
      <c r="C47">
        <v>44</v>
      </c>
      <c r="D47">
        <v>24</v>
      </c>
      <c r="E47">
        <v>8</v>
      </c>
      <c r="O47">
        <f ca="1" t="shared" si="3"/>
        <v>39.5698004936986</v>
      </c>
      <c r="P47">
        <f ca="1" t="shared" si="3"/>
        <v>124.678047608854</v>
      </c>
      <c r="Q47">
        <f ca="1" t="shared" si="3"/>
        <v>232.995246732632</v>
      </c>
      <c r="R47">
        <f ca="1" t="shared" si="3"/>
        <v>54.5990955938779</v>
      </c>
      <c r="S47">
        <f ca="1" t="shared" si="3"/>
        <v>114.29650038387</v>
      </c>
      <c r="T47">
        <f ca="1" t="shared" si="3"/>
        <v>182.491089246355</v>
      </c>
      <c r="U47" t="str">
        <f ca="1" t="shared" si="4"/>
        <v>C1</v>
      </c>
      <c r="V47">
        <v>47</v>
      </c>
      <c r="W47" t="str">
        <f ca="1" t="shared" si="5"/>
        <v>C1</v>
      </c>
      <c r="X47">
        <f ca="1" t="shared" si="6"/>
        <v>0</v>
      </c>
    </row>
    <row r="48" spans="1:24">
      <c r="A48" t="s">
        <v>59</v>
      </c>
      <c r="B48">
        <v>7</v>
      </c>
      <c r="C48">
        <v>100</v>
      </c>
      <c r="D48">
        <v>58</v>
      </c>
      <c r="E48">
        <v>16</v>
      </c>
      <c r="O48">
        <f ca="1" t="shared" si="3"/>
        <v>80.2958806193969</v>
      </c>
      <c r="P48">
        <f ca="1" t="shared" si="3"/>
        <v>63.3243414669448</v>
      </c>
      <c r="Q48">
        <f ca="1" t="shared" si="3"/>
        <v>173.192450759264</v>
      </c>
      <c r="R48">
        <f ca="1" t="shared" si="3"/>
        <v>16.1142614316513</v>
      </c>
      <c r="S48">
        <f ca="1" t="shared" si="3"/>
        <v>48.1181878295515</v>
      </c>
      <c r="T48">
        <f ca="1" t="shared" si="3"/>
        <v>121.462792148638</v>
      </c>
      <c r="U48" t="str">
        <f ca="1" t="shared" si="4"/>
        <v>C4</v>
      </c>
      <c r="V48">
        <v>48</v>
      </c>
      <c r="W48" t="str">
        <f ca="1" t="shared" si="5"/>
        <v>C4</v>
      </c>
      <c r="X48">
        <f ca="1" t="shared" si="6"/>
        <v>0</v>
      </c>
    </row>
    <row r="49" spans="1:24">
      <c r="A49" t="s">
        <v>60</v>
      </c>
      <c r="B49">
        <v>1</v>
      </c>
      <c r="C49">
        <v>62</v>
      </c>
      <c r="D49">
        <v>73</v>
      </c>
      <c r="E49">
        <v>24</v>
      </c>
      <c r="O49">
        <f ca="1" t="shared" si="3"/>
        <v>47.2039734674011</v>
      </c>
      <c r="P49">
        <f ca="1" t="shared" si="3"/>
        <v>102.674106873263</v>
      </c>
      <c r="Q49">
        <f ca="1" t="shared" si="3"/>
        <v>211.299846190195</v>
      </c>
      <c r="R49">
        <f ca="1" t="shared" si="3"/>
        <v>27.1349550418638</v>
      </c>
      <c r="S49">
        <f ca="1" t="shared" si="3"/>
        <v>80.7933165552696</v>
      </c>
      <c r="T49">
        <f ca="1" t="shared" si="3"/>
        <v>159.211211529035</v>
      </c>
      <c r="U49" t="str">
        <f ca="1" t="shared" si="4"/>
        <v>C4</v>
      </c>
      <c r="V49">
        <v>49</v>
      </c>
      <c r="W49" t="str">
        <f ca="1" t="shared" si="5"/>
        <v>C4</v>
      </c>
      <c r="X49">
        <f ca="1" t="shared" si="6"/>
        <v>0</v>
      </c>
    </row>
    <row r="50" spans="1:24">
      <c r="A50" t="s">
        <v>61</v>
      </c>
      <c r="B50">
        <v>5</v>
      </c>
      <c r="C50">
        <v>65</v>
      </c>
      <c r="D50">
        <v>34</v>
      </c>
      <c r="E50">
        <v>9</v>
      </c>
      <c r="O50">
        <f ca="1" t="shared" si="3"/>
        <v>49.8960430406171</v>
      </c>
      <c r="P50">
        <f ca="1" t="shared" si="3"/>
        <v>101.605309353837</v>
      </c>
      <c r="Q50">
        <f ca="1" t="shared" si="3"/>
        <v>210.532954665059</v>
      </c>
      <c r="R50">
        <f ca="1" t="shared" si="3"/>
        <v>32.9439794973826</v>
      </c>
      <c r="S50">
        <f ca="1" t="shared" si="3"/>
        <v>90.9668071331516</v>
      </c>
      <c r="T50">
        <f ca="1" t="shared" si="3"/>
        <v>159.746635815347</v>
      </c>
      <c r="U50" t="str">
        <f ca="1" t="shared" si="4"/>
        <v>C4</v>
      </c>
      <c r="V50">
        <v>50</v>
      </c>
      <c r="W50" t="str">
        <f ca="1" t="shared" si="5"/>
        <v>C4</v>
      </c>
      <c r="X50">
        <f ca="1" t="shared" si="6"/>
        <v>0</v>
      </c>
    </row>
    <row r="51" spans="1:24">
      <c r="A51" t="s">
        <v>62</v>
      </c>
      <c r="B51">
        <v>0</v>
      </c>
      <c r="C51">
        <v>0.1</v>
      </c>
      <c r="D51">
        <v>60</v>
      </c>
      <c r="E51">
        <v>11</v>
      </c>
      <c r="O51">
        <f ca="1" t="shared" si="3"/>
        <v>20.5982145936109</v>
      </c>
      <c r="P51">
        <f ca="1" t="shared" si="3"/>
        <v>163.578876658598</v>
      </c>
      <c r="Q51">
        <f ca="1" t="shared" si="3"/>
        <v>273.354321348685</v>
      </c>
      <c r="R51">
        <f ca="1" t="shared" si="3"/>
        <v>84.5787817988561</v>
      </c>
      <c r="S51">
        <f ca="1" t="shared" si="3"/>
        <v>143.922791801716</v>
      </c>
      <c r="T51">
        <f ca="1" t="shared" si="3"/>
        <v>221.482324072471</v>
      </c>
      <c r="U51" t="str">
        <f ca="1" t="shared" si="4"/>
        <v>C1</v>
      </c>
      <c r="V51">
        <v>51</v>
      </c>
      <c r="W51" t="str">
        <f ca="1" t="shared" si="5"/>
        <v>C1</v>
      </c>
      <c r="X51">
        <f ca="1" t="shared" si="6"/>
        <v>0</v>
      </c>
    </row>
    <row r="52" spans="1:24">
      <c r="A52" t="s">
        <v>63</v>
      </c>
      <c r="B52">
        <v>6</v>
      </c>
      <c r="C52">
        <v>143</v>
      </c>
      <c r="D52">
        <v>51</v>
      </c>
      <c r="E52">
        <v>11</v>
      </c>
      <c r="O52">
        <f ca="1" t="shared" si="3"/>
        <v>123.116591534655</v>
      </c>
      <c r="P52">
        <f ca="1" t="shared" si="3"/>
        <v>23.7831639797755</v>
      </c>
      <c r="Q52">
        <f ca="1" t="shared" si="3"/>
        <v>131.303560500087</v>
      </c>
      <c r="R52">
        <f ca="1" t="shared" si="3"/>
        <v>59.8303386375809</v>
      </c>
      <c r="S52">
        <f ca="1" t="shared" si="3"/>
        <v>31.4477344176015</v>
      </c>
      <c r="T52">
        <f ca="1" t="shared" si="3"/>
        <v>80.6879372017685</v>
      </c>
      <c r="U52" t="str">
        <f ca="1" t="shared" si="4"/>
        <v>C2</v>
      </c>
      <c r="V52">
        <v>52</v>
      </c>
      <c r="W52" t="str">
        <f ca="1" t="shared" si="5"/>
        <v>C2</v>
      </c>
      <c r="X52">
        <f ca="1" t="shared" si="6"/>
        <v>0</v>
      </c>
    </row>
  </sheetData>
  <mergeCells count="2">
    <mergeCell ref="G1:K1"/>
    <mergeCell ref="O1:R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workbookViewId="0">
      <selection activeCell="L33" sqref="L33"/>
    </sheetView>
  </sheetViews>
  <sheetFormatPr defaultColWidth="9" defaultRowHeight="15"/>
  <cols>
    <col min="23" max="23" width="10.5714285714286" customWidth="1"/>
  </cols>
  <sheetData>
    <row r="1" spans="6:22">
      <c r="F1">
        <f ca="1">_xlfn.SHEET(A1)-1</f>
        <v>4</v>
      </c>
      <c r="G1" s="7" t="s">
        <v>0</v>
      </c>
      <c r="H1" s="7"/>
      <c r="I1" s="7"/>
      <c r="J1" s="7"/>
      <c r="K1" s="7"/>
      <c r="L1" s="7"/>
      <c r="M1" s="7"/>
      <c r="O1" s="7" t="s">
        <v>1</v>
      </c>
      <c r="P1" s="7"/>
      <c r="Q1" s="7"/>
      <c r="R1" s="7"/>
      <c r="V1">
        <v>1</v>
      </c>
    </row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7</v>
      </c>
      <c r="V2">
        <v>2</v>
      </c>
      <c r="W2" t="s">
        <v>64</v>
      </c>
      <c r="X2" t="s">
        <v>65</v>
      </c>
    </row>
    <row r="3" spans="1:24">
      <c r="A3" t="s">
        <v>14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M3" si="0">IFERROR(AVERAGEIFS(INDIRECT($F$1&amp;"!"&amp;ADDRESS(3,$F3,1)):INDIRECT($F$1&amp;"!"&amp;ADDRESS(52,$F3,1)),INDIRECT($F$1&amp;"!$U$3"):INDIRECT($F$1&amp;"!$U$52"),H$2),0)</f>
        <v>2.01428571428571</v>
      </c>
      <c r="I3">
        <f ca="1" t="shared" si="0"/>
        <v>10.1666666666667</v>
      </c>
      <c r="J3">
        <f ca="1" t="shared" si="0"/>
        <v>11.75</v>
      </c>
      <c r="K3">
        <f ca="1" t="shared" si="0"/>
        <v>4.91666666666667</v>
      </c>
      <c r="L3">
        <f ca="1" t="shared" si="0"/>
        <v>7.4</v>
      </c>
      <c r="M3">
        <f ca="1" t="shared" si="0"/>
        <v>9.44444444444444</v>
      </c>
      <c r="O3">
        <f ca="1">SQRT(SUMXMY2($B3:$E3,H$3:H$6))</f>
        <v>175.990569668505</v>
      </c>
      <c r="P3">
        <f ca="1" t="shared" ref="P3:T18" si="1">SQRT(SUMXMY2($B3:$E3,I$3:I$6))</f>
        <v>30.6861351246599</v>
      </c>
      <c r="Q3">
        <f ca="1" t="shared" si="1"/>
        <v>80.7627698881112</v>
      </c>
      <c r="R3">
        <f ca="1" t="shared" si="1"/>
        <v>111.827930818339</v>
      </c>
      <c r="S3">
        <f ca="1" t="shared" si="1"/>
        <v>59.4656203196435</v>
      </c>
      <c r="T3">
        <f ca="1" t="shared" si="1"/>
        <v>31.4940715565624</v>
      </c>
      <c r="U3" t="str">
        <f ca="1">INDEX($O$2:$T$2,1,MATCH(MIN(O3:T3),O3:T3,0))</f>
        <v>C2</v>
      </c>
      <c r="V3">
        <v>3</v>
      </c>
      <c r="W3" t="str">
        <f ca="1">INDIRECT($F$1&amp;"!U"&amp;V3)</f>
        <v>C2</v>
      </c>
      <c r="X3">
        <f ca="1">IF(U3=W3,0,1)</f>
        <v>0</v>
      </c>
    </row>
    <row r="4" spans="1:24">
      <c r="A4" t="s">
        <v>15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M4" si="2">IFERROR(AVERAGEIFS(INDIRECT($F$1&amp;"!"&amp;ADDRESS(3,$F4,1)):INDIRECT($F$1&amp;"!"&amp;ADDRESS(52,$F4,1)),INDIRECT($F$1&amp;"!$U$3"):INDIRECT($F$1&amp;"!$U$52"),H$2),0)</f>
        <v>17.6</v>
      </c>
      <c r="I4">
        <f ca="1" t="shared" si="2"/>
        <v>163</v>
      </c>
      <c r="J4">
        <f ca="1" t="shared" si="2"/>
        <v>272.75</v>
      </c>
      <c r="K4">
        <f ca="1" t="shared" si="2"/>
        <v>81.6666666666667</v>
      </c>
      <c r="L4">
        <f ca="1" t="shared" si="2"/>
        <v>142</v>
      </c>
      <c r="M4">
        <f ca="1" t="shared" si="2"/>
        <v>220.666666666667</v>
      </c>
      <c r="O4">
        <f ca="1" t="shared" ref="O4:T52" si="3">SQRT(SUMXMY2($B4:$E4,H$3:H$6))</f>
        <v>207.419438504176</v>
      </c>
      <c r="P4">
        <f ca="1" t="shared" si="1"/>
        <v>65.0587341476061</v>
      </c>
      <c r="Q4">
        <f ca="1" t="shared" si="1"/>
        <v>58.1001290876363</v>
      </c>
      <c r="R4">
        <f ca="1" t="shared" si="1"/>
        <v>143.730022766451</v>
      </c>
      <c r="S4">
        <f ca="1" t="shared" si="1"/>
        <v>93.1942058284741</v>
      </c>
      <c r="T4">
        <f ca="1" t="shared" si="1"/>
        <v>28.4290322829183</v>
      </c>
      <c r="U4" t="str">
        <f ca="1" t="shared" ref="U4:U52" si="4">INDEX($O$2:$T$2,1,MATCH(MIN(O4:T4),O4:T4,0))</f>
        <v>C6</v>
      </c>
      <c r="V4">
        <v>4</v>
      </c>
      <c r="W4" t="str">
        <f ca="1" t="shared" ref="W4:W52" si="5">INDIRECT($F$1&amp;"!U"&amp;V4)</f>
        <v>C6</v>
      </c>
      <c r="X4">
        <f ca="1" t="shared" ref="X4:X52" si="6">IF(U4=W4,0,1)</f>
        <v>0</v>
      </c>
    </row>
    <row r="5" spans="1:24">
      <c r="A5" t="s">
        <v>16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M5" si="7">IFERROR(AVERAGEIFS(INDIRECT($F$1&amp;"!"&amp;ADDRESS(3,$F5,1)):INDIRECT($F$1&amp;"!"&amp;ADDRESS(52,$F5,1)),INDIRECT($F$1&amp;"!$U$3"):INDIRECT($F$1&amp;"!$U$52"),H$2),0)</f>
        <v>55.7857142857143</v>
      </c>
      <c r="I5">
        <f ca="1" t="shared" si="7"/>
        <v>57.1666666666667</v>
      </c>
      <c r="J5">
        <f ca="1" t="shared" si="7"/>
        <v>62.5</v>
      </c>
      <c r="K5">
        <f ca="1" t="shared" si="7"/>
        <v>58.0833333333333</v>
      </c>
      <c r="L5">
        <f ca="1" t="shared" si="7"/>
        <v>81.2</v>
      </c>
      <c r="M5">
        <f ca="1" t="shared" si="7"/>
        <v>63.8888888888889</v>
      </c>
      <c r="O5">
        <f ca="1" t="shared" si="3"/>
        <v>209.859736928439</v>
      </c>
      <c r="P5">
        <f ca="1" t="shared" si="1"/>
        <v>65.4113055128002</v>
      </c>
      <c r="Q5">
        <f ca="1" t="shared" si="1"/>
        <v>48.1780551703781</v>
      </c>
      <c r="R5">
        <f ca="1" t="shared" si="1"/>
        <v>145.516274385758</v>
      </c>
      <c r="S5">
        <f ca="1" t="shared" si="1"/>
        <v>85.1513945863484</v>
      </c>
      <c r="T5">
        <f ca="1" t="shared" si="1"/>
        <v>10.4343923258557</v>
      </c>
      <c r="U5" t="str">
        <f ca="1" t="shared" si="4"/>
        <v>C6</v>
      </c>
      <c r="V5">
        <v>5</v>
      </c>
      <c r="W5" t="str">
        <f ca="1" t="shared" si="5"/>
        <v>C6</v>
      </c>
      <c r="X5">
        <f ca="1" t="shared" si="6"/>
        <v>0</v>
      </c>
    </row>
    <row r="6" spans="1:24">
      <c r="A6" t="s">
        <v>17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M6" si="8">IFERROR(AVERAGEIFS(INDIRECT($F$1&amp;"!"&amp;ADDRESS(3,$F6,1)):INDIRECT($F$1&amp;"!"&amp;ADDRESS(52,$F6,1)),INDIRECT($F$1&amp;"!$U$3"):INDIRECT($F$1&amp;"!$U$52"),H$2),0)</f>
        <v>11.7857142857143</v>
      </c>
      <c r="I6">
        <f ca="1" t="shared" si="8"/>
        <v>21.5</v>
      </c>
      <c r="J6">
        <f ca="1" t="shared" si="8"/>
        <v>26.5</v>
      </c>
      <c r="K6">
        <f ca="1" t="shared" si="8"/>
        <v>17.8333333333333</v>
      </c>
      <c r="L6">
        <f ca="1" t="shared" si="8"/>
        <v>19.6</v>
      </c>
      <c r="M6">
        <f ca="1" t="shared" si="8"/>
        <v>28.3333333333333</v>
      </c>
      <c r="O6">
        <f ca="1" t="shared" si="3"/>
        <v>159.7023858332</v>
      </c>
      <c r="P6">
        <f ca="1" t="shared" si="1"/>
        <v>16.5016834158081</v>
      </c>
      <c r="Q6">
        <f ca="1" t="shared" si="1"/>
        <v>97.1011070997648</v>
      </c>
      <c r="R6">
        <f ca="1" t="shared" si="1"/>
        <v>95.728711007258</v>
      </c>
      <c r="S6">
        <f ca="1" t="shared" si="1"/>
        <v>46.9633899968901</v>
      </c>
      <c r="T6">
        <f ca="1" t="shared" si="1"/>
        <v>47.2250979516529</v>
      </c>
      <c r="U6" t="str">
        <f ca="1" t="shared" si="4"/>
        <v>C2</v>
      </c>
      <c r="V6">
        <v>6</v>
      </c>
      <c r="W6" t="str">
        <f ca="1" t="shared" si="5"/>
        <v>C2</v>
      </c>
      <c r="X6">
        <f ca="1" t="shared" si="6"/>
        <v>0</v>
      </c>
    </row>
    <row r="7" spans="1:24">
      <c r="A7" t="s">
        <v>18</v>
      </c>
      <c r="B7">
        <v>7</v>
      </c>
      <c r="C7">
        <v>235</v>
      </c>
      <c r="D7">
        <v>86</v>
      </c>
      <c r="E7">
        <v>39</v>
      </c>
      <c r="O7">
        <f ca="1" t="shared" si="3"/>
        <v>221.226440000064</v>
      </c>
      <c r="P7">
        <f ca="1" t="shared" si="1"/>
        <v>79.5715959930985</v>
      </c>
      <c r="Q7">
        <f ca="1" t="shared" si="1"/>
        <v>46.4340930782545</v>
      </c>
      <c r="R7">
        <f ca="1" t="shared" si="1"/>
        <v>157.298504266393</v>
      </c>
      <c r="S7">
        <f ca="1" t="shared" si="1"/>
        <v>95.1239191791423</v>
      </c>
      <c r="T7">
        <f ca="1" t="shared" si="1"/>
        <v>28.5324160461763</v>
      </c>
      <c r="U7" t="str">
        <f ca="1" t="shared" si="4"/>
        <v>C6</v>
      </c>
      <c r="V7">
        <v>7</v>
      </c>
      <c r="W7" t="str">
        <f ca="1" t="shared" si="5"/>
        <v>C6</v>
      </c>
      <c r="X7">
        <f ca="1" t="shared" si="6"/>
        <v>0</v>
      </c>
    </row>
    <row r="8" spans="1:24">
      <c r="A8" t="s">
        <v>19</v>
      </c>
      <c r="B8">
        <v>5</v>
      </c>
      <c r="C8">
        <v>170</v>
      </c>
      <c r="D8">
        <v>78</v>
      </c>
      <c r="E8">
        <v>37</v>
      </c>
      <c r="O8">
        <f ca="1" t="shared" si="3"/>
        <v>156.089426879829</v>
      </c>
      <c r="P8">
        <f ca="1" t="shared" si="1"/>
        <v>27.3856207200462</v>
      </c>
      <c r="Q8">
        <f ca="1" t="shared" si="1"/>
        <v>104.659567168988</v>
      </c>
      <c r="R8">
        <f ca="1" t="shared" si="1"/>
        <v>92.5571144993427</v>
      </c>
      <c r="S8">
        <f ca="1" t="shared" si="1"/>
        <v>33.2078304018796</v>
      </c>
      <c r="T8">
        <f ca="1" t="shared" si="1"/>
        <v>53.4892397163401</v>
      </c>
      <c r="U8" t="str">
        <f ca="1" t="shared" si="4"/>
        <v>C2</v>
      </c>
      <c r="V8">
        <v>8</v>
      </c>
      <c r="W8" t="str">
        <f ca="1" t="shared" si="5"/>
        <v>C2</v>
      </c>
      <c r="X8">
        <f ca="1" t="shared" si="6"/>
        <v>0</v>
      </c>
    </row>
    <row r="9" spans="1:24">
      <c r="A9" t="s">
        <v>20</v>
      </c>
      <c r="B9">
        <v>0</v>
      </c>
      <c r="C9">
        <v>35</v>
      </c>
      <c r="D9">
        <v>75</v>
      </c>
      <c r="E9">
        <v>7</v>
      </c>
      <c r="O9">
        <f ca="1" t="shared" si="3"/>
        <v>26.4368905825452</v>
      </c>
      <c r="P9">
        <f ca="1" t="shared" si="1"/>
        <v>130.444006718932</v>
      </c>
      <c r="Q9">
        <f ca="1" t="shared" si="1"/>
        <v>239.164430883859</v>
      </c>
      <c r="R9">
        <f ca="1" t="shared" si="1"/>
        <v>51.0439625333997</v>
      </c>
      <c r="S9">
        <f ca="1" t="shared" si="1"/>
        <v>108.170975774465</v>
      </c>
      <c r="T9">
        <f ca="1" t="shared" si="1"/>
        <v>187.456332363593</v>
      </c>
      <c r="U9" t="str">
        <f ca="1" t="shared" si="4"/>
        <v>C1</v>
      </c>
      <c r="V9">
        <v>9</v>
      </c>
      <c r="W9" t="str">
        <f ca="1" t="shared" si="5"/>
        <v>C1</v>
      </c>
      <c r="X9">
        <f ca="1" t="shared" si="6"/>
        <v>0</v>
      </c>
    </row>
    <row r="10" spans="1:24">
      <c r="A10" t="s">
        <v>21</v>
      </c>
      <c r="B10">
        <v>4</v>
      </c>
      <c r="C10">
        <v>198</v>
      </c>
      <c r="D10">
        <v>70</v>
      </c>
      <c r="E10">
        <v>15</v>
      </c>
      <c r="G10" t="s">
        <v>66</v>
      </c>
      <c r="I10" s="8">
        <f ca="1">SUM(X3:X52)</f>
        <v>2</v>
      </c>
      <c r="O10">
        <f ca="1" t="shared" si="3"/>
        <v>180.998565221509</v>
      </c>
      <c r="P10">
        <f ca="1" t="shared" si="1"/>
        <v>38.3402167732816</v>
      </c>
      <c r="Q10">
        <f ca="1" t="shared" si="1"/>
        <v>76.3945351448649</v>
      </c>
      <c r="R10">
        <f ca="1" t="shared" si="1"/>
        <v>116.979995915731</v>
      </c>
      <c r="S10">
        <f ca="1" t="shared" si="1"/>
        <v>57.394773281197</v>
      </c>
      <c r="T10">
        <f ca="1" t="shared" si="1"/>
        <v>27.5416631646773</v>
      </c>
      <c r="U10" t="str">
        <f ca="1" t="shared" si="4"/>
        <v>C6</v>
      </c>
      <c r="V10">
        <v>10</v>
      </c>
      <c r="W10" t="str">
        <f ca="1" t="shared" si="5"/>
        <v>C6</v>
      </c>
      <c r="X10">
        <f ca="1" t="shared" si="6"/>
        <v>0</v>
      </c>
    </row>
    <row r="11" spans="1:24">
      <c r="A11" t="s">
        <v>22</v>
      </c>
      <c r="B11">
        <v>13</v>
      </c>
      <c r="C11">
        <v>259</v>
      </c>
      <c r="D11">
        <v>74</v>
      </c>
      <c r="E11">
        <v>30</v>
      </c>
      <c r="O11">
        <f ca="1" t="shared" si="3"/>
        <v>243.018860022284</v>
      </c>
      <c r="P11">
        <f ca="1" t="shared" si="1"/>
        <v>97.8756296985562</v>
      </c>
      <c r="Q11">
        <f ca="1" t="shared" si="1"/>
        <v>18.3064196390228</v>
      </c>
      <c r="R11">
        <f ca="1" t="shared" si="1"/>
        <v>178.64439382316</v>
      </c>
      <c r="S11">
        <f ca="1" t="shared" si="1"/>
        <v>117.814939629913</v>
      </c>
      <c r="T11">
        <f ca="1" t="shared" si="1"/>
        <v>39.8384081689028</v>
      </c>
      <c r="U11" t="str">
        <f ca="1" t="shared" si="4"/>
        <v>C3</v>
      </c>
      <c r="V11">
        <v>11</v>
      </c>
      <c r="W11" t="str">
        <f ca="1" t="shared" si="5"/>
        <v>C3</v>
      </c>
      <c r="X11">
        <f ca="1" t="shared" si="6"/>
        <v>0</v>
      </c>
    </row>
    <row r="12" spans="1:24">
      <c r="A12" t="s">
        <v>23</v>
      </c>
      <c r="B12">
        <v>15</v>
      </c>
      <c r="C12">
        <v>136</v>
      </c>
      <c r="D12">
        <v>52</v>
      </c>
      <c r="E12">
        <v>24</v>
      </c>
      <c r="O12">
        <f ca="1" t="shared" si="3"/>
        <v>119.794445546</v>
      </c>
      <c r="P12">
        <f ca="1" t="shared" si="1"/>
        <v>28.0233037944414</v>
      </c>
      <c r="Q12">
        <f ca="1" t="shared" si="1"/>
        <v>137.213793038455</v>
      </c>
      <c r="R12">
        <f ca="1" t="shared" si="1"/>
        <v>55.9358511550905</v>
      </c>
      <c r="S12">
        <f ca="1" t="shared" si="1"/>
        <v>31.0766793592881</v>
      </c>
      <c r="T12">
        <f ca="1" t="shared" si="1"/>
        <v>85.7871324778106</v>
      </c>
      <c r="U12" t="str">
        <f ca="1" t="shared" si="4"/>
        <v>C2</v>
      </c>
      <c r="V12">
        <v>12</v>
      </c>
      <c r="W12" t="str">
        <f ca="1" t="shared" si="5"/>
        <v>C2</v>
      </c>
      <c r="X12">
        <f ca="1" t="shared" si="6"/>
        <v>0</v>
      </c>
    </row>
    <row r="13" spans="1:24">
      <c r="A13" t="s">
        <v>24</v>
      </c>
      <c r="B13">
        <v>5</v>
      </c>
      <c r="C13">
        <v>32</v>
      </c>
      <c r="D13">
        <v>82</v>
      </c>
      <c r="E13">
        <v>17</v>
      </c>
      <c r="O13">
        <f ca="1" t="shared" si="3"/>
        <v>30.5065901210923</v>
      </c>
      <c r="P13">
        <f ca="1" t="shared" si="1"/>
        <v>133.508946849598</v>
      </c>
      <c r="Q13">
        <f ca="1" t="shared" si="1"/>
        <v>241.819405755618</v>
      </c>
      <c r="R13">
        <f ca="1" t="shared" si="1"/>
        <v>55.1315346341013</v>
      </c>
      <c r="S13">
        <f ca="1" t="shared" si="1"/>
        <v>110.059801926044</v>
      </c>
      <c r="T13">
        <f ca="1" t="shared" si="1"/>
        <v>189.924513919753</v>
      </c>
      <c r="U13" t="str">
        <f ca="1" t="shared" si="4"/>
        <v>C1</v>
      </c>
      <c r="V13">
        <v>13</v>
      </c>
      <c r="W13" t="str">
        <f ca="1" t="shared" si="5"/>
        <v>C1</v>
      </c>
      <c r="X13">
        <f ca="1" t="shared" si="6"/>
        <v>0</v>
      </c>
    </row>
    <row r="14" spans="1:24">
      <c r="A14" t="s">
        <v>25</v>
      </c>
      <c r="B14">
        <v>0</v>
      </c>
      <c r="C14">
        <v>54</v>
      </c>
      <c r="D14">
        <v>47</v>
      </c>
      <c r="E14">
        <v>12</v>
      </c>
      <c r="O14">
        <f ca="1" t="shared" si="3"/>
        <v>37.5000272108745</v>
      </c>
      <c r="P14">
        <f ca="1" t="shared" si="1"/>
        <v>110.353850056182</v>
      </c>
      <c r="Q14">
        <f ca="1" t="shared" si="1"/>
        <v>220.091174289202</v>
      </c>
      <c r="R14">
        <f ca="1" t="shared" si="1"/>
        <v>30.7650144012824</v>
      </c>
      <c r="S14">
        <f ca="1" t="shared" si="1"/>
        <v>95.0061050669903</v>
      </c>
      <c r="T14">
        <f ca="1" t="shared" si="1"/>
        <v>168.579321550186</v>
      </c>
      <c r="U14" t="str">
        <f ca="1" t="shared" si="4"/>
        <v>C4</v>
      </c>
      <c r="V14">
        <v>14</v>
      </c>
      <c r="W14" t="str">
        <f ca="1" t="shared" si="5"/>
        <v>C4</v>
      </c>
      <c r="X14">
        <f ca="1" t="shared" si="6"/>
        <v>0</v>
      </c>
    </row>
    <row r="15" spans="1:24">
      <c r="A15" t="s">
        <v>26</v>
      </c>
      <c r="B15">
        <v>10</v>
      </c>
      <c r="C15">
        <v>218</v>
      </c>
      <c r="D15">
        <v>79</v>
      </c>
      <c r="E15">
        <v>20</v>
      </c>
      <c r="O15">
        <f ca="1" t="shared" si="3"/>
        <v>202.065111248017</v>
      </c>
      <c r="P15">
        <f ca="1" t="shared" si="1"/>
        <v>59.1943597162958</v>
      </c>
      <c r="Q15">
        <f ca="1" t="shared" si="1"/>
        <v>57.5771221927599</v>
      </c>
      <c r="R15">
        <f ca="1" t="shared" si="1"/>
        <v>138.039195319461</v>
      </c>
      <c r="S15">
        <f ca="1" t="shared" si="1"/>
        <v>76.0773290803509</v>
      </c>
      <c r="T15">
        <f ca="1" t="shared" si="1"/>
        <v>17.4702569111965</v>
      </c>
      <c r="U15" t="str">
        <f ca="1" t="shared" si="4"/>
        <v>C6</v>
      </c>
      <c r="V15">
        <v>15</v>
      </c>
      <c r="W15" t="str">
        <f ca="1" t="shared" si="5"/>
        <v>C6</v>
      </c>
      <c r="X15">
        <f ca="1" t="shared" si="6"/>
        <v>0</v>
      </c>
    </row>
    <row r="16" spans="1:24">
      <c r="A16" t="s">
        <v>27</v>
      </c>
      <c r="B16">
        <v>7</v>
      </c>
      <c r="C16">
        <v>26</v>
      </c>
      <c r="D16">
        <v>65</v>
      </c>
      <c r="E16">
        <v>19</v>
      </c>
      <c r="O16">
        <f ca="1" t="shared" si="3"/>
        <v>15.2435667260196</v>
      </c>
      <c r="P16">
        <f ca="1" t="shared" si="1"/>
        <v>137.283061187056</v>
      </c>
      <c r="Q16">
        <f ca="1" t="shared" si="1"/>
        <v>246.92230559429</v>
      </c>
      <c r="R16">
        <f ca="1" t="shared" si="1"/>
        <v>56.1455202526831</v>
      </c>
      <c r="S16">
        <f ca="1" t="shared" si="1"/>
        <v>117.127964210089</v>
      </c>
      <c r="T16">
        <f ca="1" t="shared" si="1"/>
        <v>194.908778916614</v>
      </c>
      <c r="U16" t="str">
        <f ca="1" t="shared" si="4"/>
        <v>C1</v>
      </c>
      <c r="V16">
        <v>16</v>
      </c>
      <c r="W16" t="str">
        <f ca="1" t="shared" si="5"/>
        <v>C1</v>
      </c>
      <c r="X16">
        <f ca="1" t="shared" si="6"/>
        <v>0</v>
      </c>
    </row>
    <row r="17" spans="1:24">
      <c r="A17" t="s">
        <v>28</v>
      </c>
      <c r="B17">
        <v>2</v>
      </c>
      <c r="C17">
        <v>0.1</v>
      </c>
      <c r="D17">
        <v>53</v>
      </c>
      <c r="E17">
        <v>9</v>
      </c>
      <c r="O17">
        <f ca="1" t="shared" si="3"/>
        <v>17.9379656662872</v>
      </c>
      <c r="P17">
        <f ca="1" t="shared" si="1"/>
        <v>163.635923792899</v>
      </c>
      <c r="Q17">
        <f ca="1" t="shared" si="1"/>
        <v>273.549968013158</v>
      </c>
      <c r="R17">
        <f ca="1" t="shared" si="1"/>
        <v>82.2526358915695</v>
      </c>
      <c r="S17">
        <f ca="1" t="shared" si="1"/>
        <v>145.163252925801</v>
      </c>
      <c r="T17">
        <f ca="1" t="shared" si="1"/>
        <v>221.804914004499</v>
      </c>
      <c r="U17" t="str">
        <f ca="1" t="shared" si="4"/>
        <v>C1</v>
      </c>
      <c r="V17">
        <v>17</v>
      </c>
      <c r="W17" t="str">
        <f ca="1" t="shared" si="5"/>
        <v>C1</v>
      </c>
      <c r="X17">
        <f ca="1" t="shared" si="6"/>
        <v>0</v>
      </c>
    </row>
    <row r="18" spans="1:24">
      <c r="A18" t="s">
        <v>29</v>
      </c>
      <c r="B18">
        <v>3</v>
      </c>
      <c r="C18">
        <v>80</v>
      </c>
      <c r="D18">
        <v>56</v>
      </c>
      <c r="E18">
        <v>16</v>
      </c>
      <c r="O18">
        <f ca="1" t="shared" si="3"/>
        <v>62.5502818147292</v>
      </c>
      <c r="P18">
        <f ca="1" t="shared" si="1"/>
        <v>83.4983366434459</v>
      </c>
      <c r="Q18">
        <f ca="1" t="shared" si="1"/>
        <v>193.343282789964</v>
      </c>
      <c r="R18">
        <f ca="1" t="shared" si="1"/>
        <v>3.76201778009857</v>
      </c>
      <c r="S18">
        <f ca="1" t="shared" si="1"/>
        <v>67.1666583953676</v>
      </c>
      <c r="T18">
        <f ca="1" t="shared" si="1"/>
        <v>141.573258966236</v>
      </c>
      <c r="U18" t="str">
        <f ca="1" t="shared" si="4"/>
        <v>C4</v>
      </c>
      <c r="V18">
        <v>18</v>
      </c>
      <c r="W18" t="str">
        <f ca="1" t="shared" si="5"/>
        <v>C4</v>
      </c>
      <c r="X18">
        <f ca="1" t="shared" si="6"/>
        <v>0</v>
      </c>
    </row>
    <row r="19" spans="1:24">
      <c r="A19" t="s">
        <v>30</v>
      </c>
      <c r="B19">
        <v>7</v>
      </c>
      <c r="C19">
        <v>70</v>
      </c>
      <c r="D19">
        <v>43</v>
      </c>
      <c r="E19">
        <v>15</v>
      </c>
      <c r="O19">
        <f ca="1" t="shared" si="3"/>
        <v>54.2625420468647</v>
      </c>
      <c r="P19">
        <f ca="1" t="shared" si="3"/>
        <v>94.350263498425</v>
      </c>
      <c r="Q19">
        <f ca="1" t="shared" si="3"/>
        <v>204.065246918725</v>
      </c>
      <c r="R19">
        <f ca="1" t="shared" si="3"/>
        <v>19.3903612939809</v>
      </c>
      <c r="S19">
        <f ca="1" t="shared" si="3"/>
        <v>81.6367564274819</v>
      </c>
      <c r="T19">
        <f ca="1" t="shared" si="3"/>
        <v>152.710651920148</v>
      </c>
      <c r="U19" t="str">
        <f ca="1" t="shared" si="4"/>
        <v>C4</v>
      </c>
      <c r="V19">
        <v>19</v>
      </c>
      <c r="W19" t="str">
        <f ca="1" t="shared" si="5"/>
        <v>C4</v>
      </c>
      <c r="X19">
        <f ca="1" t="shared" si="6"/>
        <v>0</v>
      </c>
    </row>
    <row r="20" spans="1:24">
      <c r="A20" t="s">
        <v>31</v>
      </c>
      <c r="B20">
        <v>15</v>
      </c>
      <c r="C20">
        <v>159</v>
      </c>
      <c r="D20">
        <v>61</v>
      </c>
      <c r="E20">
        <v>19</v>
      </c>
      <c r="O20">
        <f ca="1" t="shared" si="3"/>
        <v>142.273762406804</v>
      </c>
      <c r="P20">
        <f ca="1" t="shared" si="3"/>
        <v>7.76566517148116</v>
      </c>
      <c r="Q20">
        <f ca="1" t="shared" si="3"/>
        <v>114.053167426424</v>
      </c>
      <c r="R20">
        <f ca="1" t="shared" si="3"/>
        <v>78.0511762314388</v>
      </c>
      <c r="S20">
        <f ca="1" t="shared" si="3"/>
        <v>27.480174671934</v>
      </c>
      <c r="T20">
        <f ca="1" t="shared" si="3"/>
        <v>62.6825236045271</v>
      </c>
      <c r="U20" t="str">
        <f ca="1" t="shared" si="4"/>
        <v>C2</v>
      </c>
      <c r="V20">
        <v>20</v>
      </c>
      <c r="W20" t="str">
        <f ca="1" t="shared" si="5"/>
        <v>C2</v>
      </c>
      <c r="X20">
        <f ca="1" t="shared" si="6"/>
        <v>0</v>
      </c>
    </row>
    <row r="21" spans="1:24">
      <c r="A21" t="s">
        <v>32</v>
      </c>
      <c r="B21">
        <v>1</v>
      </c>
      <c r="C21">
        <v>0.1</v>
      </c>
      <c r="D21">
        <v>45</v>
      </c>
      <c r="E21">
        <v>7</v>
      </c>
      <c r="O21">
        <f ca="1" t="shared" si="3"/>
        <v>21.1308653251057</v>
      </c>
      <c r="P21">
        <f ca="1" t="shared" si="3"/>
        <v>164.251987980528</v>
      </c>
      <c r="Q21">
        <f ca="1" t="shared" si="3"/>
        <v>274.116918485525</v>
      </c>
      <c r="R21">
        <f ca="1" t="shared" si="3"/>
        <v>83.4086093344753</v>
      </c>
      <c r="S21">
        <f ca="1" t="shared" si="3"/>
        <v>147.125014868309</v>
      </c>
      <c r="T21">
        <f ca="1" t="shared" si="3"/>
        <v>222.559799427003</v>
      </c>
      <c r="U21" t="str">
        <f ca="1" t="shared" si="4"/>
        <v>C1</v>
      </c>
      <c r="V21">
        <v>21</v>
      </c>
      <c r="W21" t="str">
        <f ca="1" t="shared" si="5"/>
        <v>C1</v>
      </c>
      <c r="X21">
        <f ca="1" t="shared" si="6"/>
        <v>0</v>
      </c>
    </row>
    <row r="22" spans="1:24">
      <c r="A22" t="s">
        <v>33</v>
      </c>
      <c r="B22">
        <v>10</v>
      </c>
      <c r="C22">
        <v>260</v>
      </c>
      <c r="D22">
        <v>63</v>
      </c>
      <c r="E22">
        <v>28</v>
      </c>
      <c r="O22">
        <f ca="1" t="shared" si="3"/>
        <v>243.179934641501</v>
      </c>
      <c r="P22">
        <f ca="1" t="shared" si="3"/>
        <v>97.3925333665551</v>
      </c>
      <c r="Q22">
        <f ca="1" t="shared" si="3"/>
        <v>12.9663024798899</v>
      </c>
      <c r="R22">
        <f ca="1" t="shared" si="3"/>
        <v>178.762839476715</v>
      </c>
      <c r="S22">
        <f ca="1" t="shared" si="3"/>
        <v>119.718670223153</v>
      </c>
      <c r="T22">
        <f ca="1" t="shared" si="3"/>
        <v>39.3487101142378</v>
      </c>
      <c r="U22" t="str">
        <f ca="1" t="shared" si="4"/>
        <v>C3</v>
      </c>
      <c r="V22">
        <v>22</v>
      </c>
      <c r="W22" t="str">
        <f ca="1" t="shared" si="5"/>
        <v>C3</v>
      </c>
      <c r="X22">
        <f ca="1" t="shared" si="6"/>
        <v>0</v>
      </c>
    </row>
    <row r="23" spans="1:24">
      <c r="A23" t="s">
        <v>34</v>
      </c>
      <c r="B23">
        <v>2</v>
      </c>
      <c r="C23">
        <v>138</v>
      </c>
      <c r="D23">
        <v>82</v>
      </c>
      <c r="E23">
        <v>13</v>
      </c>
      <c r="O23">
        <f ca="1" t="shared" si="3"/>
        <v>123.22671572913</v>
      </c>
      <c r="P23">
        <f ca="1" t="shared" si="3"/>
        <v>37.1569494023512</v>
      </c>
      <c r="Q23">
        <f ca="1" t="shared" si="3"/>
        <v>137.168236119008</v>
      </c>
      <c r="R23">
        <f ca="1" t="shared" si="3"/>
        <v>61.4599011099468</v>
      </c>
      <c r="S23">
        <f ca="1" t="shared" si="3"/>
        <v>9.45304183847718</v>
      </c>
      <c r="T23">
        <f ca="1" t="shared" si="3"/>
        <v>86.3268265816271</v>
      </c>
      <c r="U23" t="str">
        <f ca="1" t="shared" si="4"/>
        <v>C5</v>
      </c>
      <c r="V23">
        <v>23</v>
      </c>
      <c r="W23" t="str">
        <f ca="1" t="shared" si="5"/>
        <v>C5</v>
      </c>
      <c r="X23">
        <f ca="1" t="shared" si="6"/>
        <v>0</v>
      </c>
    </row>
    <row r="24" spans="1:24">
      <c r="A24" t="s">
        <v>35</v>
      </c>
      <c r="B24">
        <v>11</v>
      </c>
      <c r="C24">
        <v>251</v>
      </c>
      <c r="D24">
        <v>68</v>
      </c>
      <c r="E24">
        <v>35</v>
      </c>
      <c r="O24">
        <f ca="1" t="shared" si="3"/>
        <v>235.041262117866</v>
      </c>
      <c r="P24">
        <f ca="1" t="shared" si="3"/>
        <v>89.6900527124137</v>
      </c>
      <c r="Q24">
        <f ca="1" t="shared" si="3"/>
        <v>24.0026040253969</v>
      </c>
      <c r="R24">
        <f ca="1" t="shared" si="3"/>
        <v>170.598415714931</v>
      </c>
      <c r="S24">
        <f ca="1" t="shared" si="3"/>
        <v>110.929527178295</v>
      </c>
      <c r="T24">
        <f ca="1" t="shared" si="3"/>
        <v>31.366806391628</v>
      </c>
      <c r="U24" t="str">
        <f ca="1" t="shared" si="4"/>
        <v>C3</v>
      </c>
      <c r="V24">
        <v>24</v>
      </c>
      <c r="W24" t="str">
        <f ca="1" t="shared" si="5"/>
        <v>C3</v>
      </c>
      <c r="X24">
        <f ca="1" t="shared" si="6"/>
        <v>0</v>
      </c>
    </row>
    <row r="25" spans="1:24">
      <c r="A25" t="s">
        <v>36</v>
      </c>
      <c r="B25">
        <v>1</v>
      </c>
      <c r="C25">
        <v>3</v>
      </c>
      <c r="D25">
        <v>62</v>
      </c>
      <c r="E25">
        <v>14</v>
      </c>
      <c r="O25">
        <f ca="1" t="shared" si="3"/>
        <v>16.0533231348986</v>
      </c>
      <c r="P25">
        <f ca="1" t="shared" si="3"/>
        <v>160.510556939065</v>
      </c>
      <c r="Q25">
        <f ca="1" t="shared" si="3"/>
        <v>270.253815884254</v>
      </c>
      <c r="R25">
        <f ca="1" t="shared" si="3"/>
        <v>78.9545403662414</v>
      </c>
      <c r="S25">
        <f ca="1" t="shared" si="3"/>
        <v>140.577238555891</v>
      </c>
      <c r="T25">
        <f ca="1" t="shared" si="3"/>
        <v>218.309639653021</v>
      </c>
      <c r="U25" t="str">
        <f ca="1" t="shared" si="4"/>
        <v>C1</v>
      </c>
      <c r="V25">
        <v>25</v>
      </c>
      <c r="W25" t="str">
        <f ca="1" t="shared" si="5"/>
        <v>C1</v>
      </c>
      <c r="X25">
        <f ca="1" t="shared" si="6"/>
        <v>0</v>
      </c>
    </row>
    <row r="26" spans="1:24">
      <c r="A26" t="s">
        <v>37</v>
      </c>
      <c r="B26">
        <v>13</v>
      </c>
      <c r="C26">
        <v>209</v>
      </c>
      <c r="D26">
        <v>44</v>
      </c>
      <c r="E26">
        <v>13</v>
      </c>
      <c r="O26">
        <f ca="1" t="shared" si="3"/>
        <v>192.080773294434</v>
      </c>
      <c r="P26">
        <f ca="1" t="shared" si="3"/>
        <v>48.678936809352</v>
      </c>
      <c r="Q26">
        <f ca="1" t="shared" si="3"/>
        <v>67.7504612530424</v>
      </c>
      <c r="R26">
        <f ca="1" t="shared" si="3"/>
        <v>128.455515430224</v>
      </c>
      <c r="S26">
        <f ca="1" t="shared" si="3"/>
        <v>77.1217219724767</v>
      </c>
      <c r="T26">
        <f ca="1" t="shared" si="3"/>
        <v>27.9183111732324</v>
      </c>
      <c r="U26" t="str">
        <f ca="1" t="shared" si="4"/>
        <v>C6</v>
      </c>
      <c r="V26">
        <v>26</v>
      </c>
      <c r="W26" t="str">
        <f ca="1" t="shared" si="5"/>
        <v>C6</v>
      </c>
      <c r="X26">
        <f ca="1" t="shared" si="6"/>
        <v>0</v>
      </c>
    </row>
    <row r="27" spans="1:24">
      <c r="A27" t="s">
        <v>38</v>
      </c>
      <c r="B27">
        <v>8</v>
      </c>
      <c r="C27">
        <v>80</v>
      </c>
      <c r="D27">
        <v>61</v>
      </c>
      <c r="E27">
        <v>28</v>
      </c>
      <c r="O27">
        <f ca="1" t="shared" si="3"/>
        <v>64.9590687452098</v>
      </c>
      <c r="P27">
        <f ca="1" t="shared" si="3"/>
        <v>83.3704917155278</v>
      </c>
      <c r="Q27">
        <f ca="1" t="shared" si="3"/>
        <v>192.798145737971</v>
      </c>
      <c r="R27">
        <f ca="1" t="shared" si="3"/>
        <v>11.1423865386989</v>
      </c>
      <c r="S27">
        <f ca="1" t="shared" si="3"/>
        <v>65.749220527699</v>
      </c>
      <c r="T27">
        <f ca="1" t="shared" si="3"/>
        <v>140.704137540399</v>
      </c>
      <c r="U27" t="str">
        <f ca="1" t="shared" si="4"/>
        <v>C4</v>
      </c>
      <c r="V27">
        <v>27</v>
      </c>
      <c r="W27" t="str">
        <f ca="1" t="shared" si="5"/>
        <v>C4</v>
      </c>
      <c r="X27">
        <f ca="1" t="shared" si="6"/>
        <v>0</v>
      </c>
    </row>
    <row r="28" spans="1:24">
      <c r="A28" t="s">
        <v>39</v>
      </c>
      <c r="B28">
        <v>5</v>
      </c>
      <c r="C28">
        <v>19</v>
      </c>
      <c r="D28">
        <v>45</v>
      </c>
      <c r="E28">
        <v>15</v>
      </c>
      <c r="O28">
        <f ca="1" t="shared" si="3"/>
        <v>11.7276491720225</v>
      </c>
      <c r="P28">
        <f ca="1" t="shared" si="3"/>
        <v>144.75141526846</v>
      </c>
      <c r="Q28">
        <f ca="1" t="shared" si="3"/>
        <v>254.702031794016</v>
      </c>
      <c r="R28">
        <f ca="1" t="shared" si="3"/>
        <v>64.0805699447535</v>
      </c>
      <c r="S28">
        <f ca="1" t="shared" si="3"/>
        <v>128.321315454604</v>
      </c>
      <c r="T28">
        <f ca="1" t="shared" si="3"/>
        <v>203.036364802217</v>
      </c>
      <c r="U28" t="str">
        <f ca="1" t="shared" si="4"/>
        <v>C1</v>
      </c>
      <c r="V28">
        <v>28</v>
      </c>
      <c r="W28" t="str">
        <f ca="1" t="shared" si="5"/>
        <v>C1</v>
      </c>
      <c r="X28">
        <f ca="1" t="shared" si="6"/>
        <v>0</v>
      </c>
    </row>
    <row r="29" spans="1:24">
      <c r="A29" t="s">
        <v>40</v>
      </c>
      <c r="B29">
        <v>4</v>
      </c>
      <c r="C29">
        <v>10</v>
      </c>
      <c r="D29">
        <v>56</v>
      </c>
      <c r="E29">
        <v>13</v>
      </c>
      <c r="O29">
        <f ca="1" t="shared" si="3"/>
        <v>7.95131872004607</v>
      </c>
      <c r="P29">
        <f ca="1" t="shared" si="3"/>
        <v>153.364399026922</v>
      </c>
      <c r="Q29">
        <f ca="1" t="shared" si="3"/>
        <v>263.290951230763</v>
      </c>
      <c r="R29">
        <f ca="1" t="shared" si="3"/>
        <v>71.8655186983144</v>
      </c>
      <c r="S29">
        <f ca="1" t="shared" si="3"/>
        <v>134.588855407868</v>
      </c>
      <c r="T29">
        <f ca="1" t="shared" si="3"/>
        <v>211.441320698593</v>
      </c>
      <c r="U29" t="str">
        <f ca="1" t="shared" si="4"/>
        <v>C1</v>
      </c>
      <c r="V29">
        <v>29</v>
      </c>
      <c r="W29" t="str">
        <f ca="1" t="shared" si="5"/>
        <v>C1</v>
      </c>
      <c r="X29">
        <f ca="1" t="shared" si="6"/>
        <v>0</v>
      </c>
    </row>
    <row r="30" spans="1:24">
      <c r="A30" t="s">
        <v>41</v>
      </c>
      <c r="B30">
        <v>11</v>
      </c>
      <c r="C30">
        <v>239</v>
      </c>
      <c r="D30">
        <v>75</v>
      </c>
      <c r="E30">
        <v>43</v>
      </c>
      <c r="O30">
        <f ca="1" t="shared" si="3"/>
        <v>224.593462659508</v>
      </c>
      <c r="P30">
        <f ca="1" t="shared" si="3"/>
        <v>80.9751333572364</v>
      </c>
      <c r="Q30">
        <f ca="1" t="shared" si="3"/>
        <v>39.5995580783422</v>
      </c>
      <c r="R30">
        <f ca="1" t="shared" si="3"/>
        <v>160.344377651492</v>
      </c>
      <c r="S30">
        <f ca="1" t="shared" si="3"/>
        <v>100.039792082951</v>
      </c>
      <c r="T30">
        <f ca="1" t="shared" si="3"/>
        <v>26.0211215252552</v>
      </c>
      <c r="U30" t="str">
        <f ca="1" t="shared" si="4"/>
        <v>C6</v>
      </c>
      <c r="V30">
        <v>30</v>
      </c>
      <c r="W30" t="str">
        <f ca="1" t="shared" si="5"/>
        <v>C6</v>
      </c>
      <c r="X30">
        <f ca="1" t="shared" si="6"/>
        <v>0</v>
      </c>
    </row>
    <row r="31" spans="1:24">
      <c r="A31" t="s">
        <v>42</v>
      </c>
      <c r="B31">
        <v>0</v>
      </c>
      <c r="C31">
        <v>0.1</v>
      </c>
      <c r="D31">
        <v>53</v>
      </c>
      <c r="E31">
        <v>6</v>
      </c>
      <c r="O31">
        <f ca="1" t="shared" si="3"/>
        <v>18.749454413831</v>
      </c>
      <c r="P31">
        <f ca="1" t="shared" si="3"/>
        <v>164.004214038</v>
      </c>
      <c r="Q31">
        <f ca="1" t="shared" si="3"/>
        <v>273.83678533024</v>
      </c>
      <c r="R31">
        <f ca="1" t="shared" si="3"/>
        <v>82.7234113040425</v>
      </c>
      <c r="S31">
        <f ca="1" t="shared" si="3"/>
        <v>145.501099652202</v>
      </c>
      <c r="T31">
        <f ca="1" t="shared" si="3"/>
        <v>222.162547821006</v>
      </c>
      <c r="U31" t="str">
        <f ca="1" t="shared" si="4"/>
        <v>C1</v>
      </c>
      <c r="V31">
        <v>31</v>
      </c>
      <c r="W31" t="str">
        <f ca="1" t="shared" si="5"/>
        <v>C1</v>
      </c>
      <c r="X31">
        <f ca="1" t="shared" si="6"/>
        <v>0</v>
      </c>
    </row>
    <row r="32" spans="1:24">
      <c r="A32" t="s">
        <v>43</v>
      </c>
      <c r="B32">
        <v>5</v>
      </c>
      <c r="C32">
        <v>155</v>
      </c>
      <c r="D32">
        <v>87</v>
      </c>
      <c r="E32">
        <v>19</v>
      </c>
      <c r="O32">
        <f ca="1" t="shared" si="3"/>
        <v>141.11715714546</v>
      </c>
      <c r="P32">
        <f ca="1" t="shared" si="3"/>
        <v>31.4161140534953</v>
      </c>
      <c r="Q32">
        <f ca="1" t="shared" si="3"/>
        <v>120.694345352216</v>
      </c>
      <c r="R32">
        <f ca="1" t="shared" si="3"/>
        <v>78.8372972928705</v>
      </c>
      <c r="S32">
        <f ca="1" t="shared" si="3"/>
        <v>14.4485293369256</v>
      </c>
      <c r="T32">
        <f ca="1" t="shared" si="3"/>
        <v>70.3782549189172</v>
      </c>
      <c r="U32" t="str">
        <f ca="1" t="shared" si="4"/>
        <v>C5</v>
      </c>
      <c r="V32">
        <v>32</v>
      </c>
      <c r="W32" t="str">
        <f ca="1" t="shared" si="5"/>
        <v>C5</v>
      </c>
      <c r="X32">
        <f ca="1" t="shared" si="6"/>
        <v>0</v>
      </c>
    </row>
    <row r="33" spans="1:24">
      <c r="A33" t="s">
        <v>44</v>
      </c>
      <c r="B33">
        <v>12</v>
      </c>
      <c r="C33">
        <v>229</v>
      </c>
      <c r="D33">
        <v>64</v>
      </c>
      <c r="E33">
        <v>32</v>
      </c>
      <c r="O33">
        <f ca="1" t="shared" si="3"/>
        <v>212.757529423827</v>
      </c>
      <c r="P33">
        <f ca="1" t="shared" si="3"/>
        <v>67.2034638657529</v>
      </c>
      <c r="Q33">
        <f ca="1" t="shared" si="3"/>
        <v>44.1205734323569</v>
      </c>
      <c r="R33">
        <f ca="1" t="shared" si="3"/>
        <v>148.300324042502</v>
      </c>
      <c r="S33">
        <f ca="1" t="shared" si="3"/>
        <v>89.6647087766419</v>
      </c>
      <c r="T33">
        <f ca="1" t="shared" si="3"/>
        <v>9.45685459153477</v>
      </c>
      <c r="U33" t="str">
        <f ca="1" t="shared" si="4"/>
        <v>C6</v>
      </c>
      <c r="V33">
        <v>33</v>
      </c>
      <c r="W33" t="str">
        <f ca="1" t="shared" si="5"/>
        <v>C6</v>
      </c>
      <c r="X33">
        <f ca="1" t="shared" si="6"/>
        <v>0</v>
      </c>
    </row>
    <row r="34" spans="1:24">
      <c r="A34" t="s">
        <v>45</v>
      </c>
      <c r="B34">
        <v>9</v>
      </c>
      <c r="C34">
        <v>161</v>
      </c>
      <c r="D34">
        <v>85</v>
      </c>
      <c r="E34">
        <v>23</v>
      </c>
      <c r="O34">
        <f ca="1" t="shared" si="3"/>
        <v>146.940787046889</v>
      </c>
      <c r="P34">
        <f ca="1" t="shared" si="3"/>
        <v>27.9697256968236</v>
      </c>
      <c r="Q34">
        <f ca="1" t="shared" si="3"/>
        <v>114.07946791601</v>
      </c>
      <c r="R34">
        <f ca="1" t="shared" si="3"/>
        <v>84.0336407504624</v>
      </c>
      <c r="S34">
        <f ca="1" t="shared" si="3"/>
        <v>19.7372743812311</v>
      </c>
      <c r="T34">
        <f ca="1" t="shared" si="3"/>
        <v>63.5171795561282</v>
      </c>
      <c r="U34" t="str">
        <f ca="1" t="shared" si="4"/>
        <v>C5</v>
      </c>
      <c r="V34">
        <v>34</v>
      </c>
      <c r="W34" t="str">
        <f ca="1" t="shared" si="5"/>
        <v>C5</v>
      </c>
      <c r="X34">
        <f ca="1" t="shared" si="6"/>
        <v>0</v>
      </c>
    </row>
    <row r="35" spans="1:24">
      <c r="A35" t="s">
        <v>46</v>
      </c>
      <c r="B35">
        <v>13</v>
      </c>
      <c r="C35">
        <v>321</v>
      </c>
      <c r="D35">
        <v>45</v>
      </c>
      <c r="E35">
        <v>13</v>
      </c>
      <c r="O35">
        <f ca="1" t="shared" si="3"/>
        <v>303.792778124853</v>
      </c>
      <c r="P35">
        <f ca="1" t="shared" si="3"/>
        <v>158.720841591631</v>
      </c>
      <c r="Q35">
        <f ca="1" t="shared" si="3"/>
        <v>53.0860151075592</v>
      </c>
      <c r="R35">
        <f ca="1" t="shared" si="3"/>
        <v>239.875633286177</v>
      </c>
      <c r="S35">
        <f ca="1" t="shared" si="3"/>
        <v>182.828772352713</v>
      </c>
      <c r="T35">
        <f ca="1" t="shared" si="3"/>
        <v>103.302086076005</v>
      </c>
      <c r="U35" t="str">
        <f ca="1" t="shared" si="4"/>
        <v>C3</v>
      </c>
      <c r="V35">
        <v>35</v>
      </c>
      <c r="W35" t="str">
        <f ca="1" t="shared" si="5"/>
        <v>C3</v>
      </c>
      <c r="X35">
        <f ca="1" t="shared" si="6"/>
        <v>0</v>
      </c>
    </row>
    <row r="36" spans="1:24">
      <c r="A36" t="s">
        <v>47</v>
      </c>
      <c r="B36">
        <v>0.1</v>
      </c>
      <c r="C36">
        <v>27</v>
      </c>
      <c r="D36">
        <v>44</v>
      </c>
      <c r="E36">
        <v>6</v>
      </c>
      <c r="O36">
        <f ca="1" t="shared" si="3"/>
        <v>16.2604440534792</v>
      </c>
      <c r="P36">
        <f ca="1" t="shared" si="3"/>
        <v>137.880197595191</v>
      </c>
      <c r="Q36">
        <f ca="1" t="shared" si="3"/>
        <v>247.570767660481</v>
      </c>
      <c r="R36">
        <f ca="1" t="shared" si="3"/>
        <v>57.8792948970336</v>
      </c>
      <c r="S36">
        <f ca="1" t="shared" si="3"/>
        <v>121.848635609924</v>
      </c>
      <c r="T36">
        <f ca="1" t="shared" si="3"/>
        <v>196.184714233208</v>
      </c>
      <c r="U36" t="str">
        <f ca="1" t="shared" si="4"/>
        <v>C1</v>
      </c>
      <c r="V36">
        <v>36</v>
      </c>
      <c r="W36" t="str">
        <f ca="1" t="shared" si="5"/>
        <v>C1</v>
      </c>
      <c r="X36">
        <f ca="1" t="shared" si="6"/>
        <v>0</v>
      </c>
    </row>
    <row r="37" spans="1:24">
      <c r="A37" t="s">
        <v>48</v>
      </c>
      <c r="B37">
        <v>8</v>
      </c>
      <c r="C37">
        <v>119</v>
      </c>
      <c r="D37">
        <v>73</v>
      </c>
      <c r="E37">
        <v>18</v>
      </c>
      <c r="O37">
        <f ca="1" t="shared" si="3"/>
        <v>103.212100817211</v>
      </c>
      <c r="P37">
        <f ca="1" t="shared" si="3"/>
        <v>46.9429322570383</v>
      </c>
      <c r="Q37">
        <f ca="1" t="shared" si="3"/>
        <v>154.387904318959</v>
      </c>
      <c r="R37">
        <f ca="1" t="shared" si="3"/>
        <v>40.3214514178798</v>
      </c>
      <c r="S37">
        <f ca="1" t="shared" si="3"/>
        <v>24.4777449941779</v>
      </c>
      <c r="T37">
        <f ca="1" t="shared" si="3"/>
        <v>102.605982546443</v>
      </c>
      <c r="U37" t="str">
        <f ca="1" t="shared" si="4"/>
        <v>C5</v>
      </c>
      <c r="V37">
        <v>37</v>
      </c>
      <c r="W37" t="str">
        <f ca="1" t="shared" si="5"/>
        <v>C5</v>
      </c>
      <c r="X37">
        <f ca="1" t="shared" si="6"/>
        <v>0</v>
      </c>
    </row>
    <row r="38" spans="1:24">
      <c r="A38" t="s">
        <v>49</v>
      </c>
      <c r="B38">
        <v>4</v>
      </c>
      <c r="C38">
        <v>116</v>
      </c>
      <c r="D38">
        <v>59</v>
      </c>
      <c r="E38">
        <v>20</v>
      </c>
      <c r="O38">
        <f ca="1" t="shared" si="3"/>
        <v>98.8145190934686</v>
      </c>
      <c r="P38">
        <f ca="1" t="shared" si="3"/>
        <v>47.461973082552</v>
      </c>
      <c r="Q38">
        <f ca="1" t="shared" si="3"/>
        <v>157.115005648729</v>
      </c>
      <c r="R38">
        <f ca="1" t="shared" si="3"/>
        <v>34.4260479546778</v>
      </c>
      <c r="S38">
        <f ca="1" t="shared" si="3"/>
        <v>34.3592782229196</v>
      </c>
      <c r="T38">
        <f ca="1" t="shared" si="3"/>
        <v>105.252547548419</v>
      </c>
      <c r="U38" t="str">
        <f ca="1" t="shared" si="4"/>
        <v>C5</v>
      </c>
      <c r="V38">
        <v>38</v>
      </c>
      <c r="W38" t="str">
        <f ca="1" t="shared" si="5"/>
        <v>C4</v>
      </c>
      <c r="X38">
        <f ca="1" t="shared" si="6"/>
        <v>1</v>
      </c>
    </row>
    <row r="39" spans="1:24">
      <c r="A39" t="s">
        <v>50</v>
      </c>
      <c r="B39">
        <v>4</v>
      </c>
      <c r="C39">
        <v>103</v>
      </c>
      <c r="D39">
        <v>58</v>
      </c>
      <c r="E39">
        <v>29</v>
      </c>
      <c r="O39">
        <f ca="1" t="shared" si="3"/>
        <v>87.1684447211377</v>
      </c>
      <c r="P39">
        <f ca="1" t="shared" si="3"/>
        <v>60.7862831749254</v>
      </c>
      <c r="Q39">
        <f ca="1" t="shared" si="3"/>
        <v>170.004779344582</v>
      </c>
      <c r="R39">
        <f ca="1" t="shared" si="3"/>
        <v>24.0967379073969</v>
      </c>
      <c r="S39">
        <f ca="1" t="shared" si="3"/>
        <v>46.4667623145835</v>
      </c>
      <c r="T39">
        <f ca="1" t="shared" si="3"/>
        <v>117.941552798593</v>
      </c>
      <c r="U39" t="str">
        <f ca="1" t="shared" si="4"/>
        <v>C4</v>
      </c>
      <c r="V39">
        <v>39</v>
      </c>
      <c r="W39" t="str">
        <f ca="1" t="shared" si="5"/>
        <v>C4</v>
      </c>
      <c r="X39">
        <f ca="1" t="shared" si="6"/>
        <v>0</v>
      </c>
    </row>
    <row r="40" spans="1:24">
      <c r="A40" t="s">
        <v>51</v>
      </c>
      <c r="B40">
        <v>4</v>
      </c>
      <c r="C40">
        <v>57</v>
      </c>
      <c r="D40">
        <v>67</v>
      </c>
      <c r="E40">
        <v>13</v>
      </c>
      <c r="O40">
        <f ca="1" t="shared" si="3"/>
        <v>41.0309365613563</v>
      </c>
      <c r="P40">
        <f ca="1" t="shared" si="3"/>
        <v>106.971829105715</v>
      </c>
      <c r="Q40">
        <f ca="1" t="shared" si="3"/>
        <v>216.357632174139</v>
      </c>
      <c r="R40">
        <f ca="1" t="shared" si="3"/>
        <v>26.6861907693432</v>
      </c>
      <c r="S40">
        <f ca="1" t="shared" si="3"/>
        <v>86.4971675836845</v>
      </c>
      <c r="T40">
        <f ca="1" t="shared" si="3"/>
        <v>164.50291753201</v>
      </c>
      <c r="U40" t="str">
        <f ca="1" t="shared" si="4"/>
        <v>C4</v>
      </c>
      <c r="V40">
        <v>40</v>
      </c>
      <c r="W40" t="str">
        <f ca="1" t="shared" si="5"/>
        <v>C4</v>
      </c>
      <c r="X40">
        <f ca="1" t="shared" si="6"/>
        <v>0</v>
      </c>
    </row>
    <row r="41" spans="1:24">
      <c r="A41" t="s">
        <v>52</v>
      </c>
      <c r="B41">
        <v>2</v>
      </c>
      <c r="C41">
        <v>97</v>
      </c>
      <c r="D41">
        <v>83</v>
      </c>
      <c r="E41">
        <v>5</v>
      </c>
      <c r="O41">
        <f ca="1" t="shared" si="3"/>
        <v>84.2082149756647</v>
      </c>
      <c r="P41">
        <f ca="1" t="shared" si="3"/>
        <v>73.2277649225726</v>
      </c>
      <c r="Q41">
        <f ca="1" t="shared" si="3"/>
        <v>178.509453531179</v>
      </c>
      <c r="R41">
        <f ca="1" t="shared" si="3"/>
        <v>32.080411122331</v>
      </c>
      <c r="S41">
        <f ca="1" t="shared" si="3"/>
        <v>47.650393492604</v>
      </c>
      <c r="T41">
        <f ca="1" t="shared" si="3"/>
        <v>127.508992662779</v>
      </c>
      <c r="U41" t="str">
        <f ca="1" t="shared" si="4"/>
        <v>C4</v>
      </c>
      <c r="V41">
        <v>41</v>
      </c>
      <c r="W41" t="str">
        <f ca="1" t="shared" si="5"/>
        <v>C4</v>
      </c>
      <c r="X41">
        <f ca="1" t="shared" si="6"/>
        <v>0</v>
      </c>
    </row>
    <row r="42" spans="1:24">
      <c r="A42" t="s">
        <v>53</v>
      </c>
      <c r="B42">
        <v>13</v>
      </c>
      <c r="C42">
        <v>210</v>
      </c>
      <c r="D42">
        <v>46</v>
      </c>
      <c r="E42">
        <v>21</v>
      </c>
      <c r="O42">
        <f ca="1" t="shared" si="3"/>
        <v>193.181544624929</v>
      </c>
      <c r="P42">
        <f ca="1" t="shared" si="3"/>
        <v>48.3939275345804</v>
      </c>
      <c r="Q42">
        <f ca="1" t="shared" si="3"/>
        <v>65.127759058638</v>
      </c>
      <c r="R42">
        <f ca="1" t="shared" si="3"/>
        <v>129.192954314252</v>
      </c>
      <c r="S42">
        <f ca="1" t="shared" si="3"/>
        <v>76.7877594412026</v>
      </c>
      <c r="T42">
        <f ca="1" t="shared" si="3"/>
        <v>22.3653722648028</v>
      </c>
      <c r="U42" t="str">
        <f ca="1" t="shared" si="4"/>
        <v>C6</v>
      </c>
      <c r="V42">
        <v>42</v>
      </c>
      <c r="W42" t="str">
        <f ca="1" t="shared" si="5"/>
        <v>C6</v>
      </c>
      <c r="X42">
        <f ca="1" t="shared" si="6"/>
        <v>0</v>
      </c>
    </row>
    <row r="43" spans="1:24">
      <c r="A43" t="s">
        <v>54</v>
      </c>
      <c r="B43">
        <v>3</v>
      </c>
      <c r="C43">
        <v>1</v>
      </c>
      <c r="D43">
        <v>43</v>
      </c>
      <c r="E43">
        <v>12</v>
      </c>
      <c r="O43">
        <f ca="1" t="shared" si="3"/>
        <v>20.9774174010131</v>
      </c>
      <c r="P43">
        <f ca="1" t="shared" si="3"/>
        <v>163.053075884988</v>
      </c>
      <c r="Q43">
        <f ca="1" t="shared" si="3"/>
        <v>272.974586729241</v>
      </c>
      <c r="R43">
        <f ca="1" t="shared" si="3"/>
        <v>82.2941033394522</v>
      </c>
      <c r="S43">
        <f ca="1" t="shared" si="3"/>
        <v>146.34671161321</v>
      </c>
      <c r="T43">
        <f ca="1" t="shared" si="3"/>
        <v>221.355141718985</v>
      </c>
      <c r="U43" t="str">
        <f ca="1" t="shared" si="4"/>
        <v>C1</v>
      </c>
      <c r="V43">
        <v>43</v>
      </c>
      <c r="W43" t="str">
        <f ca="1" t="shared" si="5"/>
        <v>C1</v>
      </c>
      <c r="X43">
        <f ca="1" t="shared" si="6"/>
        <v>0</v>
      </c>
    </row>
    <row r="44" spans="1:24">
      <c r="A44" t="s">
        <v>55</v>
      </c>
      <c r="B44">
        <v>14</v>
      </c>
      <c r="C44">
        <v>96</v>
      </c>
      <c r="D44">
        <v>58</v>
      </c>
      <c r="E44">
        <v>27</v>
      </c>
      <c r="O44">
        <f ca="1" t="shared" si="3"/>
        <v>80.7873436743602</v>
      </c>
      <c r="P44">
        <f ca="1" t="shared" si="3"/>
        <v>67.3397274191757</v>
      </c>
      <c r="Q44">
        <f ca="1" t="shared" si="3"/>
        <v>176.822297802059</v>
      </c>
      <c r="R44">
        <f ca="1" t="shared" si="3"/>
        <v>19.2869414659534</v>
      </c>
      <c r="S44">
        <f ca="1" t="shared" si="3"/>
        <v>52.464845372878</v>
      </c>
      <c r="T44">
        <f ca="1" t="shared" si="3"/>
        <v>124.895907276103</v>
      </c>
      <c r="U44" t="str">
        <f ca="1" t="shared" si="4"/>
        <v>C4</v>
      </c>
      <c r="V44">
        <v>44</v>
      </c>
      <c r="W44" t="str">
        <f ca="1" t="shared" si="5"/>
        <v>C4</v>
      </c>
      <c r="X44">
        <f ca="1" t="shared" si="6"/>
        <v>0</v>
      </c>
    </row>
    <row r="45" spans="1:24">
      <c r="A45" t="s">
        <v>56</v>
      </c>
      <c r="B45">
        <v>13</v>
      </c>
      <c r="C45">
        <v>137</v>
      </c>
      <c r="D45">
        <v>79</v>
      </c>
      <c r="E45">
        <v>25</v>
      </c>
      <c r="O45">
        <f ca="1" t="shared" si="3"/>
        <v>122.84366620437</v>
      </c>
      <c r="P45">
        <f ca="1" t="shared" si="3"/>
        <v>34.2486820508793</v>
      </c>
      <c r="Q45">
        <f ca="1" t="shared" si="3"/>
        <v>136.763024973858</v>
      </c>
      <c r="R45">
        <f ca="1" t="shared" si="3"/>
        <v>60.1330700289875</v>
      </c>
      <c r="S45">
        <f ca="1" t="shared" si="3"/>
        <v>9.50578771065292</v>
      </c>
      <c r="T45">
        <f ca="1" t="shared" si="3"/>
        <v>85.1599076828011</v>
      </c>
      <c r="U45" t="str">
        <f ca="1" t="shared" si="4"/>
        <v>C5</v>
      </c>
      <c r="V45">
        <v>45</v>
      </c>
      <c r="W45" t="str">
        <f ca="1" t="shared" si="5"/>
        <v>C5</v>
      </c>
      <c r="X45">
        <f ca="1" t="shared" si="6"/>
        <v>0</v>
      </c>
    </row>
    <row r="46" spans="1:24">
      <c r="A46" t="s">
        <v>57</v>
      </c>
      <c r="B46">
        <v>0</v>
      </c>
      <c r="C46">
        <v>49</v>
      </c>
      <c r="D46">
        <v>74</v>
      </c>
      <c r="E46">
        <v>21</v>
      </c>
      <c r="O46">
        <f ca="1" t="shared" si="3"/>
        <v>37.5057410571355</v>
      </c>
      <c r="P46">
        <f ca="1" t="shared" si="3"/>
        <v>115.684796849985</v>
      </c>
      <c r="Q46">
        <f ca="1" t="shared" si="3"/>
        <v>224.4206429899</v>
      </c>
      <c r="R46">
        <f ca="1" t="shared" si="3"/>
        <v>36.8056079664197</v>
      </c>
      <c r="S46">
        <f ca="1" t="shared" si="3"/>
        <v>93.581835844356</v>
      </c>
      <c r="T46">
        <f ca="1" t="shared" si="3"/>
        <v>172.379390650355</v>
      </c>
      <c r="U46" t="str">
        <f ca="1" t="shared" si="4"/>
        <v>C4</v>
      </c>
      <c r="V46">
        <v>46</v>
      </c>
      <c r="W46" t="str">
        <f ca="1" t="shared" si="5"/>
        <v>C1</v>
      </c>
      <c r="X46">
        <f ca="1" t="shared" si="6"/>
        <v>1</v>
      </c>
    </row>
    <row r="47" spans="1:24">
      <c r="A47" t="s">
        <v>58</v>
      </c>
      <c r="B47">
        <v>0.1</v>
      </c>
      <c r="C47">
        <v>44</v>
      </c>
      <c r="D47">
        <v>24</v>
      </c>
      <c r="E47">
        <v>8</v>
      </c>
      <c r="O47">
        <f ca="1" t="shared" si="3"/>
        <v>41.5365833344781</v>
      </c>
      <c r="P47">
        <f ca="1" t="shared" si="3"/>
        <v>124.678047608854</v>
      </c>
      <c r="Q47">
        <f ca="1" t="shared" si="3"/>
        <v>232.995246732632</v>
      </c>
      <c r="R47">
        <f ca="1" t="shared" si="3"/>
        <v>51.9648545760605</v>
      </c>
      <c r="S47">
        <f ca="1" t="shared" si="3"/>
        <v>114.29650038387</v>
      </c>
      <c r="T47">
        <f ca="1" t="shared" si="3"/>
        <v>182.491089246355</v>
      </c>
      <c r="U47" t="str">
        <f ca="1" t="shared" si="4"/>
        <v>C1</v>
      </c>
      <c r="V47">
        <v>47</v>
      </c>
      <c r="W47" t="str">
        <f ca="1" t="shared" si="5"/>
        <v>C1</v>
      </c>
      <c r="X47">
        <f ca="1" t="shared" si="6"/>
        <v>0</v>
      </c>
    </row>
    <row r="48" spans="1:24">
      <c r="A48" t="s">
        <v>59</v>
      </c>
      <c r="B48">
        <v>7</v>
      </c>
      <c r="C48">
        <v>100</v>
      </c>
      <c r="D48">
        <v>58</v>
      </c>
      <c r="E48">
        <v>16</v>
      </c>
      <c r="O48">
        <f ca="1" t="shared" si="3"/>
        <v>82.6878504512295</v>
      </c>
      <c r="P48">
        <f ca="1" t="shared" si="3"/>
        <v>63.3243414669448</v>
      </c>
      <c r="Q48">
        <f ca="1" t="shared" si="3"/>
        <v>173.192450759264</v>
      </c>
      <c r="R48">
        <f ca="1" t="shared" si="3"/>
        <v>18.5423689005597</v>
      </c>
      <c r="S48">
        <f ca="1" t="shared" si="3"/>
        <v>48.1181878295515</v>
      </c>
      <c r="T48">
        <f ca="1" t="shared" si="3"/>
        <v>121.462792148638</v>
      </c>
      <c r="U48" t="str">
        <f ca="1" t="shared" si="4"/>
        <v>C4</v>
      </c>
      <c r="V48">
        <v>48</v>
      </c>
      <c r="W48" t="str">
        <f ca="1" t="shared" si="5"/>
        <v>C4</v>
      </c>
      <c r="X48">
        <f ca="1" t="shared" si="6"/>
        <v>0</v>
      </c>
    </row>
    <row r="49" spans="1:24">
      <c r="A49" t="s">
        <v>60</v>
      </c>
      <c r="B49">
        <v>1</v>
      </c>
      <c r="C49">
        <v>62</v>
      </c>
      <c r="D49">
        <v>73</v>
      </c>
      <c r="E49">
        <v>24</v>
      </c>
      <c r="O49">
        <f ca="1" t="shared" si="3"/>
        <v>49.1722399700631</v>
      </c>
      <c r="P49">
        <f ca="1" t="shared" si="3"/>
        <v>102.674106873263</v>
      </c>
      <c r="Q49">
        <f ca="1" t="shared" si="3"/>
        <v>211.299846190195</v>
      </c>
      <c r="R49">
        <f ca="1" t="shared" si="3"/>
        <v>25.7420429992994</v>
      </c>
      <c r="S49">
        <f ca="1" t="shared" si="3"/>
        <v>80.7933165552696</v>
      </c>
      <c r="T49">
        <f ca="1" t="shared" si="3"/>
        <v>159.211211529035</v>
      </c>
      <c r="U49" t="str">
        <f ca="1" t="shared" si="4"/>
        <v>C4</v>
      </c>
      <c r="V49">
        <v>49</v>
      </c>
      <c r="W49" t="str">
        <f ca="1" t="shared" si="5"/>
        <v>C4</v>
      </c>
      <c r="X49">
        <f ca="1" t="shared" si="6"/>
        <v>0</v>
      </c>
    </row>
    <row r="50" spans="1:24">
      <c r="A50" t="s">
        <v>61</v>
      </c>
      <c r="B50">
        <v>5</v>
      </c>
      <c r="C50">
        <v>65</v>
      </c>
      <c r="D50">
        <v>34</v>
      </c>
      <c r="E50">
        <v>9</v>
      </c>
      <c r="O50">
        <f ca="1" t="shared" si="3"/>
        <v>52.3263990813082</v>
      </c>
      <c r="P50">
        <f ca="1" t="shared" si="3"/>
        <v>101.605309353837</v>
      </c>
      <c r="Q50">
        <f ca="1" t="shared" si="3"/>
        <v>210.532954665059</v>
      </c>
      <c r="R50">
        <f ca="1" t="shared" si="3"/>
        <v>30.5911661177609</v>
      </c>
      <c r="S50">
        <f ca="1" t="shared" si="3"/>
        <v>90.9668071331516</v>
      </c>
      <c r="T50">
        <f ca="1" t="shared" si="3"/>
        <v>159.746635815347</v>
      </c>
      <c r="U50" t="str">
        <f ca="1" t="shared" si="4"/>
        <v>C4</v>
      </c>
      <c r="V50">
        <v>50</v>
      </c>
      <c r="W50" t="str">
        <f ca="1" t="shared" si="5"/>
        <v>C4</v>
      </c>
      <c r="X50">
        <f ca="1" t="shared" si="6"/>
        <v>0</v>
      </c>
    </row>
    <row r="51" spans="1:24">
      <c r="A51" t="s">
        <v>62</v>
      </c>
      <c r="B51">
        <v>0</v>
      </c>
      <c r="C51">
        <v>0.1</v>
      </c>
      <c r="D51">
        <v>60</v>
      </c>
      <c r="E51">
        <v>11</v>
      </c>
      <c r="O51">
        <f ca="1" t="shared" si="3"/>
        <v>18.1296689975075</v>
      </c>
      <c r="P51">
        <f ca="1" t="shared" si="3"/>
        <v>163.578876658598</v>
      </c>
      <c r="Q51">
        <f ca="1" t="shared" si="3"/>
        <v>273.354321348685</v>
      </c>
      <c r="R51">
        <f ca="1" t="shared" si="3"/>
        <v>82.0223309701558</v>
      </c>
      <c r="S51">
        <f ca="1" t="shared" si="3"/>
        <v>143.922791801716</v>
      </c>
      <c r="T51">
        <f ca="1" t="shared" si="3"/>
        <v>221.482324072471</v>
      </c>
      <c r="U51" t="str">
        <f ca="1" t="shared" si="4"/>
        <v>C1</v>
      </c>
      <c r="V51">
        <v>51</v>
      </c>
      <c r="W51" t="str">
        <f ca="1" t="shared" si="5"/>
        <v>C1</v>
      </c>
      <c r="X51">
        <f ca="1" t="shared" si="6"/>
        <v>0</v>
      </c>
    </row>
    <row r="52" spans="1:24">
      <c r="A52" t="s">
        <v>63</v>
      </c>
      <c r="B52">
        <v>6</v>
      </c>
      <c r="C52">
        <v>143</v>
      </c>
      <c r="D52">
        <v>51</v>
      </c>
      <c r="E52">
        <v>11</v>
      </c>
      <c r="O52">
        <f ca="1" t="shared" si="3"/>
        <v>125.557024202275</v>
      </c>
      <c r="P52">
        <f ca="1" t="shared" si="3"/>
        <v>23.7831639797755</v>
      </c>
      <c r="Q52">
        <f ca="1" t="shared" si="3"/>
        <v>131.303560500087</v>
      </c>
      <c r="R52">
        <f ca="1" t="shared" si="3"/>
        <v>62.1274451787971</v>
      </c>
      <c r="S52">
        <f ca="1" t="shared" si="3"/>
        <v>31.4477344176015</v>
      </c>
      <c r="T52">
        <f ca="1" t="shared" si="3"/>
        <v>80.6879372017685</v>
      </c>
      <c r="U52" t="str">
        <f ca="1" t="shared" si="4"/>
        <v>C2</v>
      </c>
      <c r="V52">
        <v>52</v>
      </c>
      <c r="W52" t="str">
        <f ca="1" t="shared" si="5"/>
        <v>C2</v>
      </c>
      <c r="X52">
        <f ca="1" t="shared" si="6"/>
        <v>0</v>
      </c>
    </row>
  </sheetData>
  <mergeCells count="2">
    <mergeCell ref="G1:K1"/>
    <mergeCell ref="O1:R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workbookViewId="0">
      <selection activeCell="L34" sqref="L34"/>
    </sheetView>
  </sheetViews>
  <sheetFormatPr defaultColWidth="9" defaultRowHeight="15"/>
  <cols>
    <col min="23" max="23" width="10.5714285714286" customWidth="1"/>
  </cols>
  <sheetData>
    <row r="1" spans="6:22">
      <c r="F1">
        <f ca="1">_xlfn.SHEET(A1)-1</f>
        <v>5</v>
      </c>
      <c r="G1" s="7" t="s">
        <v>0</v>
      </c>
      <c r="H1" s="7"/>
      <c r="I1" s="7"/>
      <c r="J1" s="7"/>
      <c r="K1" s="7"/>
      <c r="L1" s="7"/>
      <c r="M1" s="7"/>
      <c r="O1" s="7" t="s">
        <v>1</v>
      </c>
      <c r="P1" s="7"/>
      <c r="Q1" s="7"/>
      <c r="R1" s="7"/>
      <c r="V1">
        <v>1</v>
      </c>
    </row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7</v>
      </c>
      <c r="V2">
        <v>2</v>
      </c>
      <c r="W2" t="s">
        <v>64</v>
      </c>
      <c r="X2" t="s">
        <v>65</v>
      </c>
    </row>
    <row r="3" spans="1:24">
      <c r="A3" t="s">
        <v>14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M3" si="0">IFERROR(AVERAGEIFS(INDIRECT($F$1&amp;"!"&amp;ADDRESS(3,$F3,1)):INDIRECT($F$1&amp;"!"&amp;ADDRESS(52,$F3,1)),INDIRECT($F$1&amp;"!$U$3"):INDIRECT($F$1&amp;"!$U$52"),H$2),0)</f>
        <v>2.16923076923077</v>
      </c>
      <c r="I3">
        <f ca="1" t="shared" si="0"/>
        <v>10.1666666666667</v>
      </c>
      <c r="J3">
        <f ca="1" t="shared" si="0"/>
        <v>11.75</v>
      </c>
      <c r="K3">
        <f ca="1" t="shared" si="0"/>
        <v>4.58333333333333</v>
      </c>
      <c r="L3">
        <f ca="1" t="shared" si="0"/>
        <v>6.83333333333333</v>
      </c>
      <c r="M3">
        <f ca="1" t="shared" si="0"/>
        <v>9.44444444444444</v>
      </c>
      <c r="O3">
        <f ca="1">SQRT(SUMXMY2($B3:$E3,H$3:H$6))</f>
        <v>178.395286110673</v>
      </c>
      <c r="P3">
        <f ca="1" t="shared" ref="P3:T18" si="1">SQRT(SUMXMY2($B3:$E3,I$3:I$6))</f>
        <v>30.6861351246599</v>
      </c>
      <c r="Q3">
        <f ca="1" t="shared" si="1"/>
        <v>80.7627698881112</v>
      </c>
      <c r="R3">
        <f ca="1" t="shared" si="1"/>
        <v>117.488149520612</v>
      </c>
      <c r="S3">
        <f ca="1" t="shared" si="1"/>
        <v>61.5832769508087</v>
      </c>
      <c r="T3">
        <f ca="1" t="shared" si="1"/>
        <v>31.4940715565624</v>
      </c>
      <c r="U3" t="str">
        <f ca="1">INDEX($O$2:$T$2,1,MATCH(MIN(O3:T3),O3:T3,0))</f>
        <v>C2</v>
      </c>
      <c r="V3">
        <v>3</v>
      </c>
      <c r="W3" t="str">
        <f ca="1">INDIRECT($F$1&amp;"!U"&amp;V3)</f>
        <v>C2</v>
      </c>
      <c r="X3">
        <f ca="1">IF(U3=W3,0,1)</f>
        <v>0</v>
      </c>
    </row>
    <row r="4" spans="1:24">
      <c r="A4" t="s">
        <v>15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M4" si="2">IFERROR(AVERAGEIFS(INDIRECT($F$1&amp;"!"&amp;ADDRESS(3,$F4,1)):INDIRECT($F$1&amp;"!"&amp;ADDRESS(52,$F4,1)),INDIRECT($F$1&amp;"!$U$3"):INDIRECT($F$1&amp;"!$U$52"),H$2),0)</f>
        <v>15.1846153846154</v>
      </c>
      <c r="I4">
        <f ca="1" t="shared" si="2"/>
        <v>163</v>
      </c>
      <c r="J4">
        <f ca="1" t="shared" si="2"/>
        <v>272.75</v>
      </c>
      <c r="K4">
        <f ca="1" t="shared" si="2"/>
        <v>76.0833333333333</v>
      </c>
      <c r="L4">
        <f ca="1" t="shared" si="2"/>
        <v>137.666666666667</v>
      </c>
      <c r="M4">
        <f ca="1" t="shared" si="2"/>
        <v>220.666666666667</v>
      </c>
      <c r="O4">
        <f ca="1" t="shared" ref="O4:T52" si="3">SQRT(SUMXMY2($B4:$E4,H$3:H$6))</f>
        <v>209.790814381413</v>
      </c>
      <c r="P4">
        <f ca="1" t="shared" si="1"/>
        <v>65.0587341476061</v>
      </c>
      <c r="Q4">
        <f ca="1" t="shared" si="1"/>
        <v>58.1001290876363</v>
      </c>
      <c r="R4">
        <f ca="1" t="shared" si="1"/>
        <v>149.347353322529</v>
      </c>
      <c r="S4">
        <f ca="1" t="shared" si="1"/>
        <v>95.3825630465723</v>
      </c>
      <c r="T4">
        <f ca="1" t="shared" si="1"/>
        <v>28.4290322829183</v>
      </c>
      <c r="U4" t="str">
        <f ca="1" t="shared" ref="U4:U52" si="4">INDEX($O$2:$T$2,1,MATCH(MIN(O4:T4),O4:T4,0))</f>
        <v>C6</v>
      </c>
      <c r="V4">
        <v>4</v>
      </c>
      <c r="W4" t="str">
        <f ca="1" t="shared" ref="W4:W52" si="5">INDIRECT($F$1&amp;"!U"&amp;V4)</f>
        <v>C6</v>
      </c>
      <c r="X4">
        <f ca="1" t="shared" ref="X4:X52" si="6">IF(U4=W4,0,1)</f>
        <v>0</v>
      </c>
    </row>
    <row r="5" spans="1:24">
      <c r="A5" t="s">
        <v>16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M5" si="7">IFERROR(AVERAGEIFS(INDIRECT($F$1&amp;"!"&amp;ADDRESS(3,$F5,1)):INDIRECT($F$1&amp;"!"&amp;ADDRESS(52,$F5,1)),INDIRECT($F$1&amp;"!$U$3"):INDIRECT($F$1&amp;"!$U$52"),H$2),0)</f>
        <v>54.3846153846154</v>
      </c>
      <c r="I5">
        <f ca="1" t="shared" si="7"/>
        <v>57.1666666666667</v>
      </c>
      <c r="J5">
        <f ca="1" t="shared" si="7"/>
        <v>62.5</v>
      </c>
      <c r="K5">
        <f ca="1" t="shared" si="7"/>
        <v>59.3333333333333</v>
      </c>
      <c r="L5">
        <f ca="1" t="shared" si="7"/>
        <v>77.5</v>
      </c>
      <c r="M5">
        <f ca="1" t="shared" si="7"/>
        <v>63.8888888888889</v>
      </c>
      <c r="O5">
        <f ca="1" t="shared" si="3"/>
        <v>212.429248924946</v>
      </c>
      <c r="P5">
        <f ca="1" t="shared" si="1"/>
        <v>65.4113055128002</v>
      </c>
      <c r="Q5">
        <f ca="1" t="shared" si="1"/>
        <v>48.1780551703781</v>
      </c>
      <c r="R5">
        <f ca="1" t="shared" si="1"/>
        <v>150.941926838694</v>
      </c>
      <c r="S5">
        <f ca="1" t="shared" si="1"/>
        <v>89.1094832214844</v>
      </c>
      <c r="T5">
        <f ca="1" t="shared" si="1"/>
        <v>10.4343923258557</v>
      </c>
      <c r="U5" t="str">
        <f ca="1" t="shared" si="4"/>
        <v>C6</v>
      </c>
      <c r="V5">
        <v>5</v>
      </c>
      <c r="W5" t="str">
        <f ca="1" t="shared" si="5"/>
        <v>C6</v>
      </c>
      <c r="X5">
        <f ca="1" t="shared" si="6"/>
        <v>0</v>
      </c>
    </row>
    <row r="6" spans="1:24">
      <c r="A6" t="s">
        <v>17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M6" si="8">IFERROR(AVERAGEIFS(INDIRECT($F$1&amp;"!"&amp;ADDRESS(3,$F6,1)):INDIRECT($F$1&amp;"!"&amp;ADDRESS(52,$F6,1)),INDIRECT($F$1&amp;"!$U$3"):INDIRECT($F$1&amp;"!$U$52"),H$2),0)</f>
        <v>11.0769230769231</v>
      </c>
      <c r="I6">
        <f ca="1" t="shared" si="8"/>
        <v>21.5</v>
      </c>
      <c r="J6">
        <f ca="1" t="shared" si="8"/>
        <v>26.5</v>
      </c>
      <c r="K6">
        <f ca="1" t="shared" si="8"/>
        <v>17.9166666666667</v>
      </c>
      <c r="L6">
        <f ca="1" t="shared" si="8"/>
        <v>19.6666666666667</v>
      </c>
      <c r="M6">
        <f ca="1" t="shared" si="8"/>
        <v>28.3333333333333</v>
      </c>
      <c r="O6">
        <f ca="1" t="shared" si="3"/>
        <v>162.088013931799</v>
      </c>
      <c r="P6">
        <f ca="1" t="shared" si="1"/>
        <v>16.5016834158081</v>
      </c>
      <c r="Q6">
        <f ca="1" t="shared" si="1"/>
        <v>97.1011070997648</v>
      </c>
      <c r="R6">
        <f ca="1" t="shared" si="1"/>
        <v>101.409065724476</v>
      </c>
      <c r="S6">
        <f ca="1" t="shared" si="1"/>
        <v>48.0815279845944</v>
      </c>
      <c r="T6">
        <f ca="1" t="shared" si="1"/>
        <v>47.2250979516529</v>
      </c>
      <c r="U6" t="str">
        <f ca="1" t="shared" si="4"/>
        <v>C2</v>
      </c>
      <c r="V6">
        <v>6</v>
      </c>
      <c r="W6" t="str">
        <f ca="1" t="shared" si="5"/>
        <v>C2</v>
      </c>
      <c r="X6">
        <f ca="1" t="shared" si="6"/>
        <v>0</v>
      </c>
    </row>
    <row r="7" spans="1:24">
      <c r="A7" t="s">
        <v>18</v>
      </c>
      <c r="B7">
        <v>7</v>
      </c>
      <c r="C7">
        <v>235</v>
      </c>
      <c r="D7">
        <v>86</v>
      </c>
      <c r="E7">
        <v>39</v>
      </c>
      <c r="O7">
        <f ca="1" t="shared" si="3"/>
        <v>223.87802575108</v>
      </c>
      <c r="P7">
        <f ca="1" t="shared" si="1"/>
        <v>79.5715959930985</v>
      </c>
      <c r="Q7">
        <f ca="1" t="shared" si="1"/>
        <v>46.4340930782545</v>
      </c>
      <c r="R7">
        <f ca="1" t="shared" si="1"/>
        <v>162.529890413357</v>
      </c>
      <c r="S7">
        <f ca="1" t="shared" si="1"/>
        <v>99.5983600935946</v>
      </c>
      <c r="T7">
        <f ca="1" t="shared" si="1"/>
        <v>28.5324160461763</v>
      </c>
      <c r="U7" t="str">
        <f ca="1" t="shared" si="4"/>
        <v>C6</v>
      </c>
      <c r="V7">
        <v>7</v>
      </c>
      <c r="W7" t="str">
        <f ca="1" t="shared" si="5"/>
        <v>C6</v>
      </c>
      <c r="X7">
        <f ca="1" t="shared" si="6"/>
        <v>0</v>
      </c>
    </row>
    <row r="8" spans="1:24">
      <c r="A8" t="s">
        <v>19</v>
      </c>
      <c r="B8">
        <v>5</v>
      </c>
      <c r="C8">
        <v>170</v>
      </c>
      <c r="D8">
        <v>78</v>
      </c>
      <c r="E8">
        <v>37</v>
      </c>
      <c r="O8">
        <f ca="1" t="shared" si="3"/>
        <v>158.762429043334</v>
      </c>
      <c r="P8">
        <f ca="1" t="shared" si="1"/>
        <v>27.3856207200462</v>
      </c>
      <c r="Q8">
        <f ca="1" t="shared" si="1"/>
        <v>104.659567168988</v>
      </c>
      <c r="R8">
        <f ca="1" t="shared" si="1"/>
        <v>97.6377588049032</v>
      </c>
      <c r="S8">
        <f ca="1" t="shared" si="1"/>
        <v>36.7355413734438</v>
      </c>
      <c r="T8">
        <f ca="1" t="shared" si="1"/>
        <v>53.4892397163401</v>
      </c>
      <c r="U8" t="str">
        <f ca="1" t="shared" si="4"/>
        <v>C2</v>
      </c>
      <c r="V8">
        <v>8</v>
      </c>
      <c r="W8" t="str">
        <f ca="1" t="shared" si="5"/>
        <v>C2</v>
      </c>
      <c r="X8">
        <f ca="1" t="shared" si="6"/>
        <v>0</v>
      </c>
    </row>
    <row r="9" spans="1:24">
      <c r="A9" t="s">
        <v>20</v>
      </c>
      <c r="B9">
        <v>0</v>
      </c>
      <c r="C9">
        <v>35</v>
      </c>
      <c r="D9">
        <v>75</v>
      </c>
      <c r="E9">
        <v>7</v>
      </c>
      <c r="O9">
        <f ca="1" t="shared" si="3"/>
        <v>28.9649860038147</v>
      </c>
      <c r="P9">
        <f ca="1" t="shared" si="1"/>
        <v>130.444006718932</v>
      </c>
      <c r="Q9">
        <f ca="1" t="shared" si="1"/>
        <v>239.164430883859</v>
      </c>
      <c r="R9">
        <f ca="1" t="shared" si="1"/>
        <v>45.5353190147799</v>
      </c>
      <c r="S9">
        <f ca="1" t="shared" si="1"/>
        <v>103.700691093808</v>
      </c>
      <c r="T9">
        <f ca="1" t="shared" si="1"/>
        <v>187.456332363593</v>
      </c>
      <c r="U9" t="str">
        <f ca="1" t="shared" si="4"/>
        <v>C1</v>
      </c>
      <c r="V9">
        <v>9</v>
      </c>
      <c r="W9" t="str">
        <f ca="1" t="shared" si="5"/>
        <v>C1</v>
      </c>
      <c r="X9">
        <f ca="1" t="shared" si="6"/>
        <v>0</v>
      </c>
    </row>
    <row r="10" spans="1:24">
      <c r="A10" t="s">
        <v>21</v>
      </c>
      <c r="B10">
        <v>4</v>
      </c>
      <c r="C10">
        <v>198</v>
      </c>
      <c r="D10">
        <v>70</v>
      </c>
      <c r="E10">
        <v>15</v>
      </c>
      <c r="G10" t="s">
        <v>66</v>
      </c>
      <c r="I10" s="8">
        <f ca="1">SUM(X3:X52)</f>
        <v>1</v>
      </c>
      <c r="O10">
        <f ca="1" t="shared" si="3"/>
        <v>183.532142518083</v>
      </c>
      <c r="P10">
        <f ca="1" t="shared" si="1"/>
        <v>38.3402167732816</v>
      </c>
      <c r="Q10">
        <f ca="1" t="shared" si="1"/>
        <v>76.3945351448649</v>
      </c>
      <c r="R10">
        <f ca="1" t="shared" si="1"/>
        <v>122.418538674137</v>
      </c>
      <c r="S10">
        <f ca="1" t="shared" si="1"/>
        <v>61.0423350361589</v>
      </c>
      <c r="T10">
        <f ca="1" t="shared" si="1"/>
        <v>27.5416631646773</v>
      </c>
      <c r="U10" t="str">
        <f ca="1" t="shared" si="4"/>
        <v>C6</v>
      </c>
      <c r="V10">
        <v>10</v>
      </c>
      <c r="W10" t="str">
        <f ca="1" t="shared" si="5"/>
        <v>C6</v>
      </c>
      <c r="X10">
        <f ca="1" t="shared" si="6"/>
        <v>0</v>
      </c>
    </row>
    <row r="11" spans="1:24">
      <c r="A11" t="s">
        <v>22</v>
      </c>
      <c r="B11">
        <v>13</v>
      </c>
      <c r="C11">
        <v>259</v>
      </c>
      <c r="D11">
        <v>74</v>
      </c>
      <c r="E11">
        <v>30</v>
      </c>
      <c r="O11">
        <f ca="1" t="shared" si="3"/>
        <v>245.572990149821</v>
      </c>
      <c r="P11">
        <f ca="1" t="shared" si="1"/>
        <v>97.8756296985562</v>
      </c>
      <c r="Q11">
        <f ca="1" t="shared" si="1"/>
        <v>18.3064196390228</v>
      </c>
      <c r="R11">
        <f ca="1" t="shared" si="1"/>
        <v>184.093631822988</v>
      </c>
      <c r="S11">
        <f ca="1" t="shared" si="1"/>
        <v>121.978823298691</v>
      </c>
      <c r="T11">
        <f ca="1" t="shared" si="1"/>
        <v>39.8384081689028</v>
      </c>
      <c r="U11" t="str">
        <f ca="1" t="shared" si="4"/>
        <v>C3</v>
      </c>
      <c r="V11">
        <v>11</v>
      </c>
      <c r="W11" t="str">
        <f ca="1" t="shared" si="5"/>
        <v>C3</v>
      </c>
      <c r="X11">
        <f ca="1" t="shared" si="6"/>
        <v>0</v>
      </c>
    </row>
    <row r="12" spans="1:24">
      <c r="A12" t="s">
        <v>23</v>
      </c>
      <c r="B12">
        <v>15</v>
      </c>
      <c r="C12">
        <v>136</v>
      </c>
      <c r="D12">
        <v>52</v>
      </c>
      <c r="E12">
        <v>24</v>
      </c>
      <c r="O12">
        <f ca="1" t="shared" si="3"/>
        <v>122.203429192919</v>
      </c>
      <c r="P12">
        <f ca="1" t="shared" si="1"/>
        <v>28.0233037944414</v>
      </c>
      <c r="Q12">
        <f ca="1" t="shared" si="1"/>
        <v>137.213793038455</v>
      </c>
      <c r="R12">
        <f ca="1" t="shared" si="1"/>
        <v>61.5572791074387</v>
      </c>
      <c r="S12">
        <f ca="1" t="shared" si="1"/>
        <v>27.1753564834024</v>
      </c>
      <c r="T12">
        <f ca="1" t="shared" si="1"/>
        <v>85.7871324778106</v>
      </c>
      <c r="U12" t="str">
        <f ca="1" t="shared" si="4"/>
        <v>C5</v>
      </c>
      <c r="V12">
        <v>12</v>
      </c>
      <c r="W12" t="str">
        <f ca="1" t="shared" si="5"/>
        <v>C2</v>
      </c>
      <c r="X12">
        <f ca="1" t="shared" si="6"/>
        <v>1</v>
      </c>
    </row>
    <row r="13" spans="1:24">
      <c r="A13" t="s">
        <v>24</v>
      </c>
      <c r="B13">
        <v>5</v>
      </c>
      <c r="C13">
        <v>32</v>
      </c>
      <c r="D13">
        <v>82</v>
      </c>
      <c r="E13">
        <v>17</v>
      </c>
      <c r="O13">
        <f ca="1" t="shared" si="3"/>
        <v>32.9918584183051</v>
      </c>
      <c r="P13">
        <f ca="1" t="shared" si="1"/>
        <v>133.508946849598</v>
      </c>
      <c r="Q13">
        <f ca="1" t="shared" si="1"/>
        <v>241.819405755618</v>
      </c>
      <c r="R13">
        <f ca="1" t="shared" si="1"/>
        <v>49.5795516765172</v>
      </c>
      <c r="S13">
        <f ca="1" t="shared" si="1"/>
        <v>105.811940094994</v>
      </c>
      <c r="T13">
        <f ca="1" t="shared" si="1"/>
        <v>189.924513919753</v>
      </c>
      <c r="U13" t="str">
        <f ca="1" t="shared" si="4"/>
        <v>C1</v>
      </c>
      <c r="V13">
        <v>13</v>
      </c>
      <c r="W13" t="str">
        <f ca="1" t="shared" si="5"/>
        <v>C1</v>
      </c>
      <c r="X13">
        <f ca="1" t="shared" si="6"/>
        <v>0</v>
      </c>
    </row>
    <row r="14" spans="1:24">
      <c r="A14" t="s">
        <v>25</v>
      </c>
      <c r="B14">
        <v>0</v>
      </c>
      <c r="C14">
        <v>54</v>
      </c>
      <c r="D14">
        <v>47</v>
      </c>
      <c r="E14">
        <v>12</v>
      </c>
      <c r="O14">
        <f ca="1" t="shared" si="3"/>
        <v>39.5818678229695</v>
      </c>
      <c r="P14">
        <f ca="1" t="shared" si="1"/>
        <v>110.353850056182</v>
      </c>
      <c r="Q14">
        <f ca="1" t="shared" si="1"/>
        <v>220.091174289202</v>
      </c>
      <c r="R14">
        <f ca="1" t="shared" si="1"/>
        <v>26.3779948273388</v>
      </c>
      <c r="S14">
        <f ca="1" t="shared" si="1"/>
        <v>89.6428097135143</v>
      </c>
      <c r="T14">
        <f ca="1" t="shared" si="1"/>
        <v>168.579321550186</v>
      </c>
      <c r="U14" t="str">
        <f ca="1" t="shared" si="4"/>
        <v>C4</v>
      </c>
      <c r="V14">
        <v>14</v>
      </c>
      <c r="W14" t="str">
        <f ca="1" t="shared" si="5"/>
        <v>C4</v>
      </c>
      <c r="X14">
        <f ca="1" t="shared" si="6"/>
        <v>0</v>
      </c>
    </row>
    <row r="15" spans="1:24">
      <c r="A15" t="s">
        <v>26</v>
      </c>
      <c r="B15">
        <v>10</v>
      </c>
      <c r="C15">
        <v>218</v>
      </c>
      <c r="D15">
        <v>79</v>
      </c>
      <c r="E15">
        <v>20</v>
      </c>
      <c r="O15">
        <f ca="1" t="shared" si="3"/>
        <v>204.648331644728</v>
      </c>
      <c r="P15">
        <f ca="1" t="shared" si="1"/>
        <v>59.1943597162958</v>
      </c>
      <c r="Q15">
        <f ca="1" t="shared" si="1"/>
        <v>57.5771221927599</v>
      </c>
      <c r="R15">
        <f ca="1" t="shared" si="1"/>
        <v>143.390371403073</v>
      </c>
      <c r="S15">
        <f ca="1" t="shared" si="1"/>
        <v>80.4104056284591</v>
      </c>
      <c r="T15">
        <f ca="1" t="shared" si="1"/>
        <v>17.4702569111965</v>
      </c>
      <c r="U15" t="str">
        <f ca="1" t="shared" si="4"/>
        <v>C6</v>
      </c>
      <c r="V15">
        <v>15</v>
      </c>
      <c r="W15" t="str">
        <f ca="1" t="shared" si="5"/>
        <v>C6</v>
      </c>
      <c r="X15">
        <f ca="1" t="shared" si="6"/>
        <v>0</v>
      </c>
    </row>
    <row r="16" spans="1:24">
      <c r="A16" t="s">
        <v>27</v>
      </c>
      <c r="B16">
        <v>7</v>
      </c>
      <c r="C16">
        <v>26</v>
      </c>
      <c r="D16">
        <v>65</v>
      </c>
      <c r="E16">
        <v>19</v>
      </c>
      <c r="O16">
        <f ca="1" t="shared" si="3"/>
        <v>17.7699300561703</v>
      </c>
      <c r="P16">
        <f ca="1" t="shared" si="1"/>
        <v>137.283061187056</v>
      </c>
      <c r="Q16">
        <f ca="1" t="shared" si="1"/>
        <v>246.92230559429</v>
      </c>
      <c r="R16">
        <f ca="1" t="shared" si="1"/>
        <v>50.4724209621232</v>
      </c>
      <c r="S16">
        <f ca="1" t="shared" si="1"/>
        <v>112.366216749816</v>
      </c>
      <c r="T16">
        <f ca="1" t="shared" si="1"/>
        <v>194.908778916614</v>
      </c>
      <c r="U16" t="str">
        <f ca="1" t="shared" si="4"/>
        <v>C1</v>
      </c>
      <c r="V16">
        <v>16</v>
      </c>
      <c r="W16" t="str">
        <f ca="1" t="shared" si="5"/>
        <v>C1</v>
      </c>
      <c r="X16">
        <f ca="1" t="shared" si="6"/>
        <v>0</v>
      </c>
    </row>
    <row r="17" spans="1:24">
      <c r="A17" t="s">
        <v>28</v>
      </c>
      <c r="B17">
        <v>2</v>
      </c>
      <c r="C17">
        <v>0.1</v>
      </c>
      <c r="D17">
        <v>53</v>
      </c>
      <c r="E17">
        <v>9</v>
      </c>
      <c r="O17">
        <f ca="1" t="shared" si="3"/>
        <v>15.2906844054084</v>
      </c>
      <c r="P17">
        <f ca="1" t="shared" si="1"/>
        <v>163.635923792899</v>
      </c>
      <c r="Q17">
        <f ca="1" t="shared" si="1"/>
        <v>273.549968013158</v>
      </c>
      <c r="R17">
        <f ca="1" t="shared" si="1"/>
        <v>76.8098861547855</v>
      </c>
      <c r="S17">
        <f ca="1" t="shared" si="1"/>
        <v>140.221170536644</v>
      </c>
      <c r="T17">
        <f ca="1" t="shared" si="1"/>
        <v>221.804914004499</v>
      </c>
      <c r="U17" t="str">
        <f ca="1" t="shared" si="4"/>
        <v>C1</v>
      </c>
      <c r="V17">
        <v>17</v>
      </c>
      <c r="W17" t="str">
        <f ca="1" t="shared" si="5"/>
        <v>C1</v>
      </c>
      <c r="X17">
        <f ca="1" t="shared" si="6"/>
        <v>0</v>
      </c>
    </row>
    <row r="18" spans="1:24">
      <c r="A18" t="s">
        <v>29</v>
      </c>
      <c r="B18">
        <v>3</v>
      </c>
      <c r="C18">
        <v>80</v>
      </c>
      <c r="D18">
        <v>56</v>
      </c>
      <c r="E18">
        <v>16</v>
      </c>
      <c r="O18">
        <f ca="1" t="shared" si="3"/>
        <v>65.0274589246818</v>
      </c>
      <c r="P18">
        <f ca="1" t="shared" si="1"/>
        <v>83.4983366434459</v>
      </c>
      <c r="Q18">
        <f ca="1" t="shared" si="1"/>
        <v>193.343282789964</v>
      </c>
      <c r="R18">
        <f ca="1" t="shared" si="1"/>
        <v>5.71243769720463</v>
      </c>
      <c r="S18">
        <f ca="1" t="shared" si="1"/>
        <v>61.7724318230498</v>
      </c>
      <c r="T18">
        <f ca="1" t="shared" si="1"/>
        <v>141.573258966236</v>
      </c>
      <c r="U18" t="str">
        <f ca="1" t="shared" si="4"/>
        <v>C4</v>
      </c>
      <c r="V18">
        <v>18</v>
      </c>
      <c r="W18" t="str">
        <f ca="1" t="shared" si="5"/>
        <v>C4</v>
      </c>
      <c r="X18">
        <f ca="1" t="shared" si="6"/>
        <v>0</v>
      </c>
    </row>
    <row r="19" spans="1:24">
      <c r="A19" t="s">
        <v>30</v>
      </c>
      <c r="B19">
        <v>7</v>
      </c>
      <c r="C19">
        <v>70</v>
      </c>
      <c r="D19">
        <v>43</v>
      </c>
      <c r="E19">
        <v>15</v>
      </c>
      <c r="O19">
        <f ca="1" t="shared" si="3"/>
        <v>56.3299451614635</v>
      </c>
      <c r="P19">
        <f ca="1" t="shared" si="3"/>
        <v>94.350263498425</v>
      </c>
      <c r="Q19">
        <f ca="1" t="shared" si="3"/>
        <v>204.065246918725</v>
      </c>
      <c r="R19">
        <f ca="1" t="shared" si="3"/>
        <v>17.8362536549704</v>
      </c>
      <c r="S19">
        <f ca="1" t="shared" si="3"/>
        <v>76.0975251459161</v>
      </c>
      <c r="T19">
        <f ca="1" t="shared" si="3"/>
        <v>152.710651920148</v>
      </c>
      <c r="U19" t="str">
        <f ca="1" t="shared" si="4"/>
        <v>C4</v>
      </c>
      <c r="V19">
        <v>19</v>
      </c>
      <c r="W19" t="str">
        <f ca="1" t="shared" si="5"/>
        <v>C4</v>
      </c>
      <c r="X19">
        <f ca="1" t="shared" si="6"/>
        <v>0</v>
      </c>
    </row>
    <row r="20" spans="1:24">
      <c r="A20" t="s">
        <v>31</v>
      </c>
      <c r="B20">
        <v>15</v>
      </c>
      <c r="C20">
        <v>159</v>
      </c>
      <c r="D20">
        <v>61</v>
      </c>
      <c r="E20">
        <v>19</v>
      </c>
      <c r="O20">
        <f ca="1" t="shared" si="3"/>
        <v>144.755075740586</v>
      </c>
      <c r="P20">
        <f ca="1" t="shared" si="3"/>
        <v>7.76566517148116</v>
      </c>
      <c r="Q20">
        <f ca="1" t="shared" si="3"/>
        <v>114.053167426424</v>
      </c>
      <c r="R20">
        <f ca="1" t="shared" si="3"/>
        <v>83.59205670663</v>
      </c>
      <c r="S20">
        <f ca="1" t="shared" si="3"/>
        <v>28.1868763789108</v>
      </c>
      <c r="T20">
        <f ca="1" t="shared" si="3"/>
        <v>62.6825236045271</v>
      </c>
      <c r="U20" t="str">
        <f ca="1" t="shared" si="4"/>
        <v>C2</v>
      </c>
      <c r="V20">
        <v>20</v>
      </c>
      <c r="W20" t="str">
        <f ca="1" t="shared" si="5"/>
        <v>C2</v>
      </c>
      <c r="X20">
        <f ca="1" t="shared" si="6"/>
        <v>0</v>
      </c>
    </row>
    <row r="21" spans="1:24">
      <c r="A21" t="s">
        <v>32</v>
      </c>
      <c r="B21">
        <v>1</v>
      </c>
      <c r="C21">
        <v>0.1</v>
      </c>
      <c r="D21">
        <v>45</v>
      </c>
      <c r="E21">
        <v>7</v>
      </c>
      <c r="O21">
        <f ca="1" t="shared" si="3"/>
        <v>18.264857776227</v>
      </c>
      <c r="P21">
        <f ca="1" t="shared" si="3"/>
        <v>164.251987980528</v>
      </c>
      <c r="Q21">
        <f ca="1" t="shared" si="3"/>
        <v>274.116918485525</v>
      </c>
      <c r="R21">
        <f ca="1" t="shared" si="3"/>
        <v>78.1724073940273</v>
      </c>
      <c r="S21">
        <f ca="1" t="shared" si="3"/>
        <v>142.039818360909</v>
      </c>
      <c r="T21">
        <f ca="1" t="shared" si="3"/>
        <v>222.559799427003</v>
      </c>
      <c r="U21" t="str">
        <f ca="1" t="shared" si="4"/>
        <v>C1</v>
      </c>
      <c r="V21">
        <v>21</v>
      </c>
      <c r="W21" t="str">
        <f ca="1" t="shared" si="5"/>
        <v>C1</v>
      </c>
      <c r="X21">
        <f ca="1" t="shared" si="6"/>
        <v>0</v>
      </c>
    </row>
    <row r="22" spans="1:24">
      <c r="A22" t="s">
        <v>33</v>
      </c>
      <c r="B22">
        <v>10</v>
      </c>
      <c r="C22">
        <v>260</v>
      </c>
      <c r="D22">
        <v>63</v>
      </c>
      <c r="E22">
        <v>28</v>
      </c>
      <c r="O22">
        <f ca="1" t="shared" si="3"/>
        <v>245.675617177895</v>
      </c>
      <c r="P22">
        <f ca="1" t="shared" si="3"/>
        <v>97.3925333665551</v>
      </c>
      <c r="Q22">
        <f ca="1" t="shared" si="3"/>
        <v>12.9663024798899</v>
      </c>
      <c r="R22">
        <f ca="1" t="shared" si="3"/>
        <v>184.308975937449</v>
      </c>
      <c r="S22">
        <f ca="1" t="shared" si="3"/>
        <v>123.511807802601</v>
      </c>
      <c r="T22">
        <f ca="1" t="shared" si="3"/>
        <v>39.3487101142378</v>
      </c>
      <c r="U22" t="str">
        <f ca="1" t="shared" si="4"/>
        <v>C3</v>
      </c>
      <c r="V22">
        <v>22</v>
      </c>
      <c r="W22" t="str">
        <f ca="1" t="shared" si="5"/>
        <v>C3</v>
      </c>
      <c r="X22">
        <f ca="1" t="shared" si="6"/>
        <v>0</v>
      </c>
    </row>
    <row r="23" spans="1:24">
      <c r="A23" t="s">
        <v>34</v>
      </c>
      <c r="B23">
        <v>2</v>
      </c>
      <c r="C23">
        <v>138</v>
      </c>
      <c r="D23">
        <v>82</v>
      </c>
      <c r="E23">
        <v>13</v>
      </c>
      <c r="O23">
        <f ca="1" t="shared" si="3"/>
        <v>125.896604519684</v>
      </c>
      <c r="P23">
        <f ca="1" t="shared" si="3"/>
        <v>37.1569494023512</v>
      </c>
      <c r="Q23">
        <f ca="1" t="shared" si="3"/>
        <v>137.168236119008</v>
      </c>
      <c r="R23">
        <f ca="1" t="shared" si="3"/>
        <v>66.1687132345122</v>
      </c>
      <c r="S23">
        <f ca="1" t="shared" si="3"/>
        <v>9.38971068066885</v>
      </c>
      <c r="T23">
        <f ca="1" t="shared" si="3"/>
        <v>86.3268265816271</v>
      </c>
      <c r="U23" t="str">
        <f ca="1" t="shared" si="4"/>
        <v>C5</v>
      </c>
      <c r="V23">
        <v>23</v>
      </c>
      <c r="W23" t="str">
        <f ca="1" t="shared" si="5"/>
        <v>C5</v>
      </c>
      <c r="X23">
        <f ca="1" t="shared" si="6"/>
        <v>0</v>
      </c>
    </row>
    <row r="24" spans="1:24">
      <c r="A24" t="s">
        <v>35</v>
      </c>
      <c r="B24">
        <v>11</v>
      </c>
      <c r="C24">
        <v>251</v>
      </c>
      <c r="D24">
        <v>68</v>
      </c>
      <c r="E24">
        <v>35</v>
      </c>
      <c r="O24">
        <f ca="1" t="shared" si="3"/>
        <v>237.580660859004</v>
      </c>
      <c r="P24">
        <f ca="1" t="shared" si="3"/>
        <v>89.6900527124137</v>
      </c>
      <c r="Q24">
        <f ca="1" t="shared" si="3"/>
        <v>24.0026040253969</v>
      </c>
      <c r="R24">
        <f ca="1" t="shared" si="3"/>
        <v>176.07942888872</v>
      </c>
      <c r="S24">
        <f ca="1" t="shared" si="3"/>
        <v>114.835389434907</v>
      </c>
      <c r="T24">
        <f ca="1" t="shared" si="3"/>
        <v>31.366806391628</v>
      </c>
      <c r="U24" t="str">
        <f ca="1" t="shared" si="4"/>
        <v>C3</v>
      </c>
      <c r="V24">
        <v>24</v>
      </c>
      <c r="W24" t="str">
        <f ca="1" t="shared" si="5"/>
        <v>C3</v>
      </c>
      <c r="X24">
        <f ca="1" t="shared" si="6"/>
        <v>0</v>
      </c>
    </row>
    <row r="25" spans="1:24">
      <c r="A25" t="s">
        <v>36</v>
      </c>
      <c r="B25">
        <v>1</v>
      </c>
      <c r="C25">
        <v>3</v>
      </c>
      <c r="D25">
        <v>62</v>
      </c>
      <c r="E25">
        <v>14</v>
      </c>
      <c r="O25">
        <f ca="1" t="shared" si="3"/>
        <v>14.7095348057368</v>
      </c>
      <c r="P25">
        <f ca="1" t="shared" si="3"/>
        <v>160.510556939065</v>
      </c>
      <c r="Q25">
        <f ca="1" t="shared" si="3"/>
        <v>270.253815884254</v>
      </c>
      <c r="R25">
        <f ca="1" t="shared" si="3"/>
        <v>73.3243839236156</v>
      </c>
      <c r="S25">
        <f ca="1" t="shared" si="3"/>
        <v>135.799484535104</v>
      </c>
      <c r="T25">
        <f ca="1" t="shared" si="3"/>
        <v>218.309639653021</v>
      </c>
      <c r="U25" t="str">
        <f ca="1" t="shared" si="4"/>
        <v>C1</v>
      </c>
      <c r="V25">
        <v>25</v>
      </c>
      <c r="W25" t="str">
        <f ca="1" t="shared" si="5"/>
        <v>C1</v>
      </c>
      <c r="X25">
        <f ca="1" t="shared" si="6"/>
        <v>0</v>
      </c>
    </row>
    <row r="26" spans="1:24">
      <c r="A26" t="s">
        <v>37</v>
      </c>
      <c r="B26">
        <v>13</v>
      </c>
      <c r="C26">
        <v>209</v>
      </c>
      <c r="D26">
        <v>44</v>
      </c>
      <c r="E26">
        <v>13</v>
      </c>
      <c r="O26">
        <f ca="1" t="shared" si="3"/>
        <v>194.404854201941</v>
      </c>
      <c r="P26">
        <f ca="1" t="shared" si="3"/>
        <v>48.678936809352</v>
      </c>
      <c r="Q26">
        <f ca="1" t="shared" si="3"/>
        <v>67.7504612530424</v>
      </c>
      <c r="R26">
        <f ca="1" t="shared" si="3"/>
        <v>134.152768431284</v>
      </c>
      <c r="S26">
        <f ca="1" t="shared" si="3"/>
        <v>79.3294816992187</v>
      </c>
      <c r="T26">
        <f ca="1" t="shared" si="3"/>
        <v>27.9183111732324</v>
      </c>
      <c r="U26" t="str">
        <f ca="1" t="shared" si="4"/>
        <v>C6</v>
      </c>
      <c r="V26">
        <v>26</v>
      </c>
      <c r="W26" t="str">
        <f ca="1" t="shared" si="5"/>
        <v>C6</v>
      </c>
      <c r="X26">
        <f ca="1" t="shared" si="6"/>
        <v>0</v>
      </c>
    </row>
    <row r="27" spans="1:24">
      <c r="A27" t="s">
        <v>38</v>
      </c>
      <c r="B27">
        <v>8</v>
      </c>
      <c r="C27">
        <v>80</v>
      </c>
      <c r="D27">
        <v>61</v>
      </c>
      <c r="E27">
        <v>28</v>
      </c>
      <c r="O27">
        <f ca="1" t="shared" si="3"/>
        <v>67.5661586803377</v>
      </c>
      <c r="P27">
        <f ca="1" t="shared" si="3"/>
        <v>83.3704917155278</v>
      </c>
      <c r="Q27">
        <f ca="1" t="shared" si="3"/>
        <v>192.798145737971</v>
      </c>
      <c r="R27">
        <f ca="1" t="shared" si="3"/>
        <v>11.4658308803932</v>
      </c>
      <c r="S27">
        <f ca="1" t="shared" si="3"/>
        <v>60.5681434419118</v>
      </c>
      <c r="T27">
        <f ca="1" t="shared" si="3"/>
        <v>140.704137540399</v>
      </c>
      <c r="U27" t="str">
        <f ca="1" t="shared" si="4"/>
        <v>C4</v>
      </c>
      <c r="V27">
        <v>27</v>
      </c>
      <c r="W27" t="str">
        <f ca="1" t="shared" si="5"/>
        <v>C4</v>
      </c>
      <c r="X27">
        <f ca="1" t="shared" si="6"/>
        <v>0</v>
      </c>
    </row>
    <row r="28" spans="1:24">
      <c r="A28" t="s">
        <v>39</v>
      </c>
      <c r="B28">
        <v>5</v>
      </c>
      <c r="C28">
        <v>19</v>
      </c>
      <c r="D28">
        <v>45</v>
      </c>
      <c r="E28">
        <v>15</v>
      </c>
      <c r="O28">
        <f ca="1" t="shared" si="3"/>
        <v>11.2263953548199</v>
      </c>
      <c r="P28">
        <f ca="1" t="shared" si="3"/>
        <v>144.75141526846</v>
      </c>
      <c r="Q28">
        <f ca="1" t="shared" si="3"/>
        <v>254.702031794016</v>
      </c>
      <c r="R28">
        <f ca="1" t="shared" si="3"/>
        <v>58.9290416046659</v>
      </c>
      <c r="S28">
        <f ca="1" t="shared" si="3"/>
        <v>123.138810562173</v>
      </c>
      <c r="T28">
        <f ca="1" t="shared" si="3"/>
        <v>203.036364802217</v>
      </c>
      <c r="U28" t="str">
        <f ca="1" t="shared" si="4"/>
        <v>C1</v>
      </c>
      <c r="V28">
        <v>28</v>
      </c>
      <c r="W28" t="str">
        <f ca="1" t="shared" si="5"/>
        <v>C1</v>
      </c>
      <c r="X28">
        <f ca="1" t="shared" si="6"/>
        <v>0</v>
      </c>
    </row>
    <row r="29" spans="1:24">
      <c r="A29" t="s">
        <v>40</v>
      </c>
      <c r="B29">
        <v>4</v>
      </c>
      <c r="C29">
        <v>10</v>
      </c>
      <c r="D29">
        <v>56</v>
      </c>
      <c r="E29">
        <v>13</v>
      </c>
      <c r="O29">
        <f ca="1" t="shared" si="3"/>
        <v>6.0448031374408</v>
      </c>
      <c r="P29">
        <f ca="1" t="shared" si="3"/>
        <v>153.364399026922</v>
      </c>
      <c r="Q29">
        <f ca="1" t="shared" si="3"/>
        <v>263.290951230763</v>
      </c>
      <c r="R29">
        <f ca="1" t="shared" si="3"/>
        <v>66.3523318689286</v>
      </c>
      <c r="S29">
        <f ca="1" t="shared" si="3"/>
        <v>129.666880890997</v>
      </c>
      <c r="T29">
        <f ca="1" t="shared" si="3"/>
        <v>211.441320698593</v>
      </c>
      <c r="U29" t="str">
        <f ca="1" t="shared" si="4"/>
        <v>C1</v>
      </c>
      <c r="V29">
        <v>29</v>
      </c>
      <c r="W29" t="str">
        <f ca="1" t="shared" si="5"/>
        <v>C1</v>
      </c>
      <c r="X29">
        <f ca="1" t="shared" si="6"/>
        <v>0</v>
      </c>
    </row>
    <row r="30" spans="1:24">
      <c r="A30" t="s">
        <v>41</v>
      </c>
      <c r="B30">
        <v>11</v>
      </c>
      <c r="C30">
        <v>239</v>
      </c>
      <c r="D30">
        <v>75</v>
      </c>
      <c r="E30">
        <v>43</v>
      </c>
      <c r="O30">
        <f ca="1" t="shared" si="3"/>
        <v>227.190197409168</v>
      </c>
      <c r="P30">
        <f ca="1" t="shared" si="3"/>
        <v>80.9751333572364</v>
      </c>
      <c r="Q30">
        <f ca="1" t="shared" si="3"/>
        <v>39.5995580783422</v>
      </c>
      <c r="R30">
        <f ca="1" t="shared" si="3"/>
        <v>165.703445783256</v>
      </c>
      <c r="S30">
        <f ca="1" t="shared" si="3"/>
        <v>104.098511036422</v>
      </c>
      <c r="T30">
        <f ca="1" t="shared" si="3"/>
        <v>26.0211215252552</v>
      </c>
      <c r="U30" t="str">
        <f ca="1" t="shared" si="4"/>
        <v>C6</v>
      </c>
      <c r="V30">
        <v>30</v>
      </c>
      <c r="W30" t="str">
        <f ca="1" t="shared" si="5"/>
        <v>C6</v>
      </c>
      <c r="X30">
        <f ca="1" t="shared" si="6"/>
        <v>0</v>
      </c>
    </row>
    <row r="31" spans="1:24">
      <c r="A31" t="s">
        <v>42</v>
      </c>
      <c r="B31">
        <v>0</v>
      </c>
      <c r="C31">
        <v>0.1</v>
      </c>
      <c r="D31">
        <v>53</v>
      </c>
      <c r="E31">
        <v>6</v>
      </c>
      <c r="O31">
        <f ca="1" t="shared" si="3"/>
        <v>16.1227631355255</v>
      </c>
      <c r="P31">
        <f ca="1" t="shared" si="3"/>
        <v>164.004214038</v>
      </c>
      <c r="Q31">
        <f ca="1" t="shared" si="3"/>
        <v>273.83678533024</v>
      </c>
      <c r="R31">
        <f ca="1" t="shared" si="3"/>
        <v>77.3084209154762</v>
      </c>
      <c r="S31">
        <f ca="1" t="shared" si="3"/>
        <v>140.564255769381</v>
      </c>
      <c r="T31">
        <f ca="1" t="shared" si="3"/>
        <v>222.162547821006</v>
      </c>
      <c r="U31" t="str">
        <f ca="1" t="shared" si="4"/>
        <v>C1</v>
      </c>
      <c r="V31">
        <v>31</v>
      </c>
      <c r="W31" t="str">
        <f ca="1" t="shared" si="5"/>
        <v>C1</v>
      </c>
      <c r="X31">
        <f ca="1" t="shared" si="6"/>
        <v>0</v>
      </c>
    </row>
    <row r="32" spans="1:24">
      <c r="A32" t="s">
        <v>43</v>
      </c>
      <c r="B32">
        <v>5</v>
      </c>
      <c r="C32">
        <v>155</v>
      </c>
      <c r="D32">
        <v>87</v>
      </c>
      <c r="E32">
        <v>19</v>
      </c>
      <c r="O32">
        <f ca="1" t="shared" si="3"/>
        <v>143.81548418416</v>
      </c>
      <c r="P32">
        <f ca="1" t="shared" si="3"/>
        <v>31.4161140534953</v>
      </c>
      <c r="Q32">
        <f ca="1" t="shared" si="3"/>
        <v>120.694345352216</v>
      </c>
      <c r="R32">
        <f ca="1" t="shared" si="3"/>
        <v>83.6339162328564</v>
      </c>
      <c r="S32">
        <f ca="1" t="shared" si="3"/>
        <v>19.8620240660412</v>
      </c>
      <c r="T32">
        <f ca="1" t="shared" si="3"/>
        <v>70.3782549189172</v>
      </c>
      <c r="U32" t="str">
        <f ca="1" t="shared" si="4"/>
        <v>C5</v>
      </c>
      <c r="V32">
        <v>32</v>
      </c>
      <c r="W32" t="str">
        <f ca="1" t="shared" si="5"/>
        <v>C5</v>
      </c>
      <c r="X32">
        <f ca="1" t="shared" si="6"/>
        <v>0</v>
      </c>
    </row>
    <row r="33" spans="1:24">
      <c r="A33" t="s">
        <v>44</v>
      </c>
      <c r="B33">
        <v>12</v>
      </c>
      <c r="C33">
        <v>229</v>
      </c>
      <c r="D33">
        <v>64</v>
      </c>
      <c r="E33">
        <v>32</v>
      </c>
      <c r="O33">
        <f ca="1" t="shared" si="3"/>
        <v>215.276318927847</v>
      </c>
      <c r="P33">
        <f ca="1" t="shared" si="3"/>
        <v>67.2034638657529</v>
      </c>
      <c r="Q33">
        <f ca="1" t="shared" si="3"/>
        <v>44.1205734323569</v>
      </c>
      <c r="R33">
        <f ca="1" t="shared" si="3"/>
        <v>153.8136273041</v>
      </c>
      <c r="S33">
        <f ca="1" t="shared" si="3"/>
        <v>93.2889775554076</v>
      </c>
      <c r="T33">
        <f ca="1" t="shared" si="3"/>
        <v>9.45685459153477</v>
      </c>
      <c r="U33" t="str">
        <f ca="1" t="shared" si="4"/>
        <v>C6</v>
      </c>
      <c r="V33">
        <v>33</v>
      </c>
      <c r="W33" t="str">
        <f ca="1" t="shared" si="5"/>
        <v>C6</v>
      </c>
      <c r="X33">
        <f ca="1" t="shared" si="6"/>
        <v>0</v>
      </c>
    </row>
    <row r="34" spans="1:24">
      <c r="A34" t="s">
        <v>45</v>
      </c>
      <c r="B34">
        <v>9</v>
      </c>
      <c r="C34">
        <v>161</v>
      </c>
      <c r="D34">
        <v>85</v>
      </c>
      <c r="E34">
        <v>23</v>
      </c>
      <c r="O34">
        <f ca="1" t="shared" si="3"/>
        <v>149.627027429132</v>
      </c>
      <c r="P34">
        <f ca="1" t="shared" si="3"/>
        <v>27.9697256968236</v>
      </c>
      <c r="Q34">
        <f ca="1" t="shared" si="3"/>
        <v>114.07946791601</v>
      </c>
      <c r="R34">
        <f ca="1" t="shared" si="3"/>
        <v>88.9660906063528</v>
      </c>
      <c r="S34">
        <f ca="1" t="shared" si="3"/>
        <v>24.8294180358703</v>
      </c>
      <c r="T34">
        <f ca="1" t="shared" si="3"/>
        <v>63.5171795561282</v>
      </c>
      <c r="U34" t="str">
        <f ca="1" t="shared" si="4"/>
        <v>C5</v>
      </c>
      <c r="V34">
        <v>34</v>
      </c>
      <c r="W34" t="str">
        <f ca="1" t="shared" si="5"/>
        <v>C5</v>
      </c>
      <c r="X34">
        <f ca="1" t="shared" si="6"/>
        <v>0</v>
      </c>
    </row>
    <row r="35" spans="1:24">
      <c r="A35" t="s">
        <v>46</v>
      </c>
      <c r="B35">
        <v>13</v>
      </c>
      <c r="C35">
        <v>321</v>
      </c>
      <c r="D35">
        <v>45</v>
      </c>
      <c r="E35">
        <v>13</v>
      </c>
      <c r="O35">
        <f ca="1" t="shared" si="3"/>
        <v>306.157025495668</v>
      </c>
      <c r="P35">
        <f ca="1" t="shared" si="3"/>
        <v>158.720841591631</v>
      </c>
      <c r="Q35">
        <f ca="1" t="shared" si="3"/>
        <v>53.0860151075592</v>
      </c>
      <c r="R35">
        <f ca="1" t="shared" si="3"/>
        <v>245.52928938203</v>
      </c>
      <c r="S35">
        <f ca="1" t="shared" si="3"/>
        <v>186.413071787719</v>
      </c>
      <c r="T35">
        <f ca="1" t="shared" si="3"/>
        <v>103.302086076005</v>
      </c>
      <c r="U35" t="str">
        <f ca="1" t="shared" si="4"/>
        <v>C3</v>
      </c>
      <c r="V35">
        <v>35</v>
      </c>
      <c r="W35" t="str">
        <f ca="1" t="shared" si="5"/>
        <v>C3</v>
      </c>
      <c r="X35">
        <f ca="1" t="shared" si="6"/>
        <v>0</v>
      </c>
    </row>
    <row r="36" spans="1:24">
      <c r="A36" t="s">
        <v>47</v>
      </c>
      <c r="B36">
        <v>0.1</v>
      </c>
      <c r="C36">
        <v>27</v>
      </c>
      <c r="D36">
        <v>44</v>
      </c>
      <c r="E36">
        <v>6</v>
      </c>
      <c r="O36">
        <f ca="1" t="shared" si="3"/>
        <v>16.6583436812062</v>
      </c>
      <c r="P36">
        <f ca="1" t="shared" si="3"/>
        <v>137.880197595191</v>
      </c>
      <c r="Q36">
        <f ca="1" t="shared" si="3"/>
        <v>247.570767660481</v>
      </c>
      <c r="R36">
        <f ca="1" t="shared" si="3"/>
        <v>52.9753899886017</v>
      </c>
      <c r="S36">
        <f ca="1" t="shared" si="3"/>
        <v>116.62536888116</v>
      </c>
      <c r="T36">
        <f ca="1" t="shared" si="3"/>
        <v>196.184714233208</v>
      </c>
      <c r="U36" t="str">
        <f ca="1" t="shared" si="4"/>
        <v>C1</v>
      </c>
      <c r="V36">
        <v>36</v>
      </c>
      <c r="W36" t="str">
        <f ca="1" t="shared" si="5"/>
        <v>C1</v>
      </c>
      <c r="X36">
        <f ca="1" t="shared" si="6"/>
        <v>0</v>
      </c>
    </row>
    <row r="37" spans="1:24">
      <c r="A37" t="s">
        <v>48</v>
      </c>
      <c r="B37">
        <v>8</v>
      </c>
      <c r="C37">
        <v>119</v>
      </c>
      <c r="D37">
        <v>73</v>
      </c>
      <c r="E37">
        <v>18</v>
      </c>
      <c r="O37">
        <f ca="1" t="shared" si="3"/>
        <v>105.858837567415</v>
      </c>
      <c r="P37">
        <f ca="1" t="shared" si="3"/>
        <v>46.9429322570383</v>
      </c>
      <c r="Q37">
        <f ca="1" t="shared" si="3"/>
        <v>154.387904318959</v>
      </c>
      <c r="R37">
        <f ca="1" t="shared" si="3"/>
        <v>45.1696647221463</v>
      </c>
      <c r="S37">
        <f ca="1" t="shared" si="3"/>
        <v>19.308892597281</v>
      </c>
      <c r="T37">
        <f ca="1" t="shared" si="3"/>
        <v>102.605982546443</v>
      </c>
      <c r="U37" t="str">
        <f ca="1" t="shared" si="4"/>
        <v>C5</v>
      </c>
      <c r="V37">
        <v>37</v>
      </c>
      <c r="W37" t="str">
        <f ca="1" t="shared" si="5"/>
        <v>C5</v>
      </c>
      <c r="X37">
        <f ca="1" t="shared" si="6"/>
        <v>0</v>
      </c>
    </row>
    <row r="38" spans="1:24">
      <c r="A38" t="s">
        <v>49</v>
      </c>
      <c r="B38">
        <v>4</v>
      </c>
      <c r="C38">
        <v>116</v>
      </c>
      <c r="D38">
        <v>59</v>
      </c>
      <c r="E38">
        <v>20</v>
      </c>
      <c r="O38">
        <f ca="1" t="shared" si="3"/>
        <v>101.331222079117</v>
      </c>
      <c r="P38">
        <f ca="1" t="shared" si="3"/>
        <v>47.461973082552</v>
      </c>
      <c r="Q38">
        <f ca="1" t="shared" si="3"/>
        <v>157.115005648729</v>
      </c>
      <c r="R38">
        <f ca="1" t="shared" si="3"/>
        <v>39.9766424858872</v>
      </c>
      <c r="S38">
        <f ca="1" t="shared" si="3"/>
        <v>28.632731852433</v>
      </c>
      <c r="T38">
        <f ca="1" t="shared" si="3"/>
        <v>105.252547548419</v>
      </c>
      <c r="U38" t="str">
        <f ca="1" t="shared" si="4"/>
        <v>C5</v>
      </c>
      <c r="V38">
        <v>38</v>
      </c>
      <c r="W38" t="str">
        <f ca="1" t="shared" si="5"/>
        <v>C5</v>
      </c>
      <c r="X38">
        <f ca="1" t="shared" si="6"/>
        <v>0</v>
      </c>
    </row>
    <row r="39" spans="1:24">
      <c r="A39" t="s">
        <v>50</v>
      </c>
      <c r="B39">
        <v>4</v>
      </c>
      <c r="C39">
        <v>103</v>
      </c>
      <c r="D39">
        <v>58</v>
      </c>
      <c r="E39">
        <v>29</v>
      </c>
      <c r="O39">
        <f ca="1" t="shared" si="3"/>
        <v>89.7173404834982</v>
      </c>
      <c r="P39">
        <f ca="1" t="shared" si="3"/>
        <v>60.7862831749254</v>
      </c>
      <c r="Q39">
        <f ca="1" t="shared" si="3"/>
        <v>170.004779344582</v>
      </c>
      <c r="R39">
        <f ca="1" t="shared" si="3"/>
        <v>29.1455876210753</v>
      </c>
      <c r="S39">
        <f ca="1" t="shared" si="3"/>
        <v>40.9532253512061</v>
      </c>
      <c r="T39">
        <f ca="1" t="shared" si="3"/>
        <v>117.941552798593</v>
      </c>
      <c r="U39" t="str">
        <f ca="1" t="shared" si="4"/>
        <v>C4</v>
      </c>
      <c r="V39">
        <v>39</v>
      </c>
      <c r="W39" t="str">
        <f ca="1" t="shared" si="5"/>
        <v>C4</v>
      </c>
      <c r="X39">
        <f ca="1" t="shared" si="6"/>
        <v>0</v>
      </c>
    </row>
    <row r="40" spans="1:24">
      <c r="A40" t="s">
        <v>51</v>
      </c>
      <c r="B40">
        <v>4</v>
      </c>
      <c r="C40">
        <v>57</v>
      </c>
      <c r="D40">
        <v>67</v>
      </c>
      <c r="E40">
        <v>13</v>
      </c>
      <c r="O40">
        <f ca="1" t="shared" si="3"/>
        <v>43.7575623219008</v>
      </c>
      <c r="P40">
        <f ca="1" t="shared" si="3"/>
        <v>106.971829105715</v>
      </c>
      <c r="Q40">
        <f ca="1" t="shared" si="3"/>
        <v>216.357632174139</v>
      </c>
      <c r="R40">
        <f ca="1" t="shared" si="3"/>
        <v>21.1533750918802</v>
      </c>
      <c r="S40">
        <f ca="1" t="shared" si="3"/>
        <v>81.6690475843409</v>
      </c>
      <c r="T40">
        <f ca="1" t="shared" si="3"/>
        <v>164.50291753201</v>
      </c>
      <c r="U40" t="str">
        <f ca="1" t="shared" si="4"/>
        <v>C4</v>
      </c>
      <c r="V40">
        <v>40</v>
      </c>
      <c r="W40" t="str">
        <f ca="1" t="shared" si="5"/>
        <v>C4</v>
      </c>
      <c r="X40">
        <f ca="1" t="shared" si="6"/>
        <v>0</v>
      </c>
    </row>
    <row r="41" spans="1:24">
      <c r="A41" t="s">
        <v>52</v>
      </c>
      <c r="B41">
        <v>2</v>
      </c>
      <c r="C41">
        <v>97</v>
      </c>
      <c r="D41">
        <v>83</v>
      </c>
      <c r="E41">
        <v>5</v>
      </c>
      <c r="O41">
        <f ca="1" t="shared" si="3"/>
        <v>86.8881754301804</v>
      </c>
      <c r="P41">
        <f ca="1" t="shared" si="3"/>
        <v>73.2277649225726</v>
      </c>
      <c r="Q41">
        <f ca="1" t="shared" si="3"/>
        <v>178.509453531179</v>
      </c>
      <c r="R41">
        <f ca="1" t="shared" si="3"/>
        <v>34.2218051020756</v>
      </c>
      <c r="S41">
        <f ca="1" t="shared" si="3"/>
        <v>43.8463225367875</v>
      </c>
      <c r="T41">
        <f ca="1" t="shared" si="3"/>
        <v>127.508992662779</v>
      </c>
      <c r="U41" t="str">
        <f ca="1" t="shared" si="4"/>
        <v>C4</v>
      </c>
      <c r="V41">
        <v>41</v>
      </c>
      <c r="W41" t="str">
        <f ca="1" t="shared" si="5"/>
        <v>C4</v>
      </c>
      <c r="X41">
        <f ca="1" t="shared" si="6"/>
        <v>0</v>
      </c>
    </row>
    <row r="42" spans="1:24">
      <c r="A42" t="s">
        <v>53</v>
      </c>
      <c r="B42">
        <v>13</v>
      </c>
      <c r="C42">
        <v>210</v>
      </c>
      <c r="D42">
        <v>46</v>
      </c>
      <c r="E42">
        <v>21</v>
      </c>
      <c r="O42">
        <f ca="1" t="shared" si="3"/>
        <v>195.548226470453</v>
      </c>
      <c r="P42">
        <f ca="1" t="shared" si="3"/>
        <v>48.3939275345804</v>
      </c>
      <c r="Q42">
        <f ca="1" t="shared" si="3"/>
        <v>65.127759058638</v>
      </c>
      <c r="R42">
        <f ca="1" t="shared" si="3"/>
        <v>134.876975837654</v>
      </c>
      <c r="S42">
        <f ca="1" t="shared" si="3"/>
        <v>79.1464886565833</v>
      </c>
      <c r="T42">
        <f ca="1" t="shared" si="3"/>
        <v>22.3653722648028</v>
      </c>
      <c r="U42" t="str">
        <f ca="1" t="shared" si="4"/>
        <v>C6</v>
      </c>
      <c r="V42">
        <v>42</v>
      </c>
      <c r="W42" t="str">
        <f ca="1" t="shared" si="5"/>
        <v>C6</v>
      </c>
      <c r="X42">
        <f ca="1" t="shared" si="6"/>
        <v>0</v>
      </c>
    </row>
    <row r="43" spans="1:24">
      <c r="A43" t="s">
        <v>54</v>
      </c>
      <c r="B43">
        <v>3</v>
      </c>
      <c r="C43">
        <v>1</v>
      </c>
      <c r="D43">
        <v>43</v>
      </c>
      <c r="E43">
        <v>12</v>
      </c>
      <c r="O43">
        <f ca="1" t="shared" si="3"/>
        <v>18.2306069450745</v>
      </c>
      <c r="P43">
        <f ca="1" t="shared" si="3"/>
        <v>163.053075884988</v>
      </c>
      <c r="Q43">
        <f ca="1" t="shared" si="3"/>
        <v>272.974586729241</v>
      </c>
      <c r="R43">
        <f ca="1" t="shared" si="3"/>
        <v>77.0830630625892</v>
      </c>
      <c r="S43">
        <f ca="1" t="shared" si="3"/>
        <v>141.214376038702</v>
      </c>
      <c r="T43">
        <f ca="1" t="shared" si="3"/>
        <v>221.355141718985</v>
      </c>
      <c r="U43" t="str">
        <f ca="1" t="shared" si="4"/>
        <v>C1</v>
      </c>
      <c r="V43">
        <v>43</v>
      </c>
      <c r="W43" t="str">
        <f ca="1" t="shared" si="5"/>
        <v>C1</v>
      </c>
      <c r="X43">
        <f ca="1" t="shared" si="6"/>
        <v>0</v>
      </c>
    </row>
    <row r="44" spans="1:24">
      <c r="A44" t="s">
        <v>55</v>
      </c>
      <c r="B44">
        <v>14</v>
      </c>
      <c r="C44">
        <v>96</v>
      </c>
      <c r="D44">
        <v>58</v>
      </c>
      <c r="E44">
        <v>27</v>
      </c>
      <c r="O44">
        <f ca="1" t="shared" si="3"/>
        <v>83.292910116886</v>
      </c>
      <c r="P44">
        <f ca="1" t="shared" si="3"/>
        <v>67.3397274191757</v>
      </c>
      <c r="Q44">
        <f ca="1" t="shared" si="3"/>
        <v>176.822297802059</v>
      </c>
      <c r="R44">
        <f ca="1" t="shared" si="3"/>
        <v>23.8669634525309</v>
      </c>
      <c r="S44">
        <f ca="1" t="shared" si="3"/>
        <v>47.1327911331379</v>
      </c>
      <c r="T44">
        <f ca="1" t="shared" si="3"/>
        <v>124.895907276103</v>
      </c>
      <c r="U44" t="str">
        <f ca="1" t="shared" si="4"/>
        <v>C4</v>
      </c>
      <c r="V44">
        <v>44</v>
      </c>
      <c r="W44" t="str">
        <f ca="1" t="shared" si="5"/>
        <v>C4</v>
      </c>
      <c r="X44">
        <f ca="1" t="shared" si="6"/>
        <v>0</v>
      </c>
    </row>
    <row r="45" spans="1:24">
      <c r="A45" t="s">
        <v>56</v>
      </c>
      <c r="B45">
        <v>13</v>
      </c>
      <c r="C45">
        <v>137</v>
      </c>
      <c r="D45">
        <v>79</v>
      </c>
      <c r="E45">
        <v>25</v>
      </c>
      <c r="O45">
        <f ca="1" t="shared" si="3"/>
        <v>125.523156118278</v>
      </c>
      <c r="P45">
        <f ca="1" t="shared" si="3"/>
        <v>34.2486820508793</v>
      </c>
      <c r="Q45">
        <f ca="1" t="shared" si="3"/>
        <v>136.763024973858</v>
      </c>
      <c r="R45">
        <f ca="1" t="shared" si="3"/>
        <v>64.9509964853846</v>
      </c>
      <c r="S45">
        <f ca="1" t="shared" si="3"/>
        <v>8.3166499665831</v>
      </c>
      <c r="T45">
        <f ca="1" t="shared" si="3"/>
        <v>85.1599076828011</v>
      </c>
      <c r="U45" t="str">
        <f ca="1" t="shared" si="4"/>
        <v>C5</v>
      </c>
      <c r="V45">
        <v>45</v>
      </c>
      <c r="W45" t="str">
        <f ca="1" t="shared" si="5"/>
        <v>C5</v>
      </c>
      <c r="X45">
        <f ca="1" t="shared" si="6"/>
        <v>0</v>
      </c>
    </row>
    <row r="46" spans="1:24">
      <c r="A46" t="s">
        <v>57</v>
      </c>
      <c r="B46">
        <v>0</v>
      </c>
      <c r="C46">
        <v>49</v>
      </c>
      <c r="D46">
        <v>74</v>
      </c>
      <c r="E46">
        <v>21</v>
      </c>
      <c r="O46">
        <f ca="1" t="shared" si="3"/>
        <v>40.3907980615305</v>
      </c>
      <c r="P46">
        <f ca="1" t="shared" si="3"/>
        <v>115.684796849985</v>
      </c>
      <c r="Q46">
        <f ca="1" t="shared" si="3"/>
        <v>224.4206429899</v>
      </c>
      <c r="R46">
        <f ca="1" t="shared" si="3"/>
        <v>31.2910841046526</v>
      </c>
      <c r="S46">
        <f ca="1" t="shared" si="3"/>
        <v>89.0084265673762</v>
      </c>
      <c r="T46">
        <f ca="1" t="shared" si="3"/>
        <v>172.379390650355</v>
      </c>
      <c r="U46" t="str">
        <f ca="1" t="shared" si="4"/>
        <v>C4</v>
      </c>
      <c r="V46">
        <v>46</v>
      </c>
      <c r="W46" t="str">
        <f ca="1" t="shared" si="5"/>
        <v>C4</v>
      </c>
      <c r="X46">
        <f ca="1" t="shared" si="6"/>
        <v>0</v>
      </c>
    </row>
    <row r="47" spans="1:24">
      <c r="A47" t="s">
        <v>58</v>
      </c>
      <c r="B47">
        <v>0.1</v>
      </c>
      <c r="C47">
        <v>44</v>
      </c>
      <c r="D47">
        <v>24</v>
      </c>
      <c r="E47">
        <v>8</v>
      </c>
      <c r="O47">
        <f ca="1" t="shared" si="3"/>
        <v>42.0392722843912</v>
      </c>
      <c r="P47">
        <f ca="1" t="shared" si="3"/>
        <v>124.678047608854</v>
      </c>
      <c r="Q47">
        <f ca="1" t="shared" si="3"/>
        <v>232.995246732632</v>
      </c>
      <c r="R47">
        <f ca="1" t="shared" si="3"/>
        <v>48.9512540981105</v>
      </c>
      <c r="S47">
        <f ca="1" t="shared" si="3"/>
        <v>108.706684860377</v>
      </c>
      <c r="T47">
        <f ca="1" t="shared" si="3"/>
        <v>182.491089246355</v>
      </c>
      <c r="U47" t="str">
        <f ca="1" t="shared" si="4"/>
        <v>C1</v>
      </c>
      <c r="V47">
        <v>47</v>
      </c>
      <c r="W47" t="str">
        <f ca="1" t="shared" si="5"/>
        <v>C1</v>
      </c>
      <c r="X47">
        <f ca="1" t="shared" si="6"/>
        <v>0</v>
      </c>
    </row>
    <row r="48" spans="1:24">
      <c r="A48" t="s">
        <v>59</v>
      </c>
      <c r="B48">
        <v>7</v>
      </c>
      <c r="C48">
        <v>100</v>
      </c>
      <c r="D48">
        <v>58</v>
      </c>
      <c r="E48">
        <v>16</v>
      </c>
      <c r="O48">
        <f ca="1" t="shared" si="3"/>
        <v>85.1721403460325</v>
      </c>
      <c r="P48">
        <f ca="1" t="shared" si="3"/>
        <v>63.3243414669448</v>
      </c>
      <c r="Q48">
        <f ca="1" t="shared" si="3"/>
        <v>173.192450759264</v>
      </c>
      <c r="R48">
        <f ca="1" t="shared" si="3"/>
        <v>24.1515757479944</v>
      </c>
      <c r="S48">
        <f ca="1" t="shared" si="3"/>
        <v>42.573465914816</v>
      </c>
      <c r="T48">
        <f ca="1" t="shared" si="3"/>
        <v>121.462792148638</v>
      </c>
      <c r="U48" t="str">
        <f ca="1" t="shared" si="4"/>
        <v>C4</v>
      </c>
      <c r="V48">
        <v>48</v>
      </c>
      <c r="W48" t="str">
        <f ca="1" t="shared" si="5"/>
        <v>C4</v>
      </c>
      <c r="X48">
        <f ca="1" t="shared" si="6"/>
        <v>0</v>
      </c>
    </row>
    <row r="49" spans="1:24">
      <c r="A49" t="s">
        <v>60</v>
      </c>
      <c r="B49">
        <v>1</v>
      </c>
      <c r="C49">
        <v>62</v>
      </c>
      <c r="D49">
        <v>73</v>
      </c>
      <c r="E49">
        <v>24</v>
      </c>
      <c r="O49">
        <f ca="1" t="shared" si="3"/>
        <v>52.0248575088541</v>
      </c>
      <c r="P49">
        <f ca="1" t="shared" si="3"/>
        <v>102.674106873263</v>
      </c>
      <c r="Q49">
        <f ca="1" t="shared" si="3"/>
        <v>211.299846190195</v>
      </c>
      <c r="R49">
        <f ca="1" t="shared" si="3"/>
        <v>20.8558211964376</v>
      </c>
      <c r="S49">
        <f ca="1" t="shared" si="3"/>
        <v>76.1478824393692</v>
      </c>
      <c r="T49">
        <f ca="1" t="shared" si="3"/>
        <v>159.211211529035</v>
      </c>
      <c r="U49" t="str">
        <f ca="1" t="shared" si="4"/>
        <v>C4</v>
      </c>
      <c r="V49">
        <v>49</v>
      </c>
      <c r="W49" t="str">
        <f ca="1" t="shared" si="5"/>
        <v>C4</v>
      </c>
      <c r="X49">
        <f ca="1" t="shared" si="6"/>
        <v>0</v>
      </c>
    </row>
    <row r="50" spans="1:24">
      <c r="A50" t="s">
        <v>61</v>
      </c>
      <c r="B50">
        <v>5</v>
      </c>
      <c r="C50">
        <v>65</v>
      </c>
      <c r="D50">
        <v>34</v>
      </c>
      <c r="E50">
        <v>9</v>
      </c>
      <c r="O50">
        <f ca="1" t="shared" si="3"/>
        <v>53.9391504629311</v>
      </c>
      <c r="P50">
        <f ca="1" t="shared" si="3"/>
        <v>101.605309353837</v>
      </c>
      <c r="Q50">
        <f ca="1" t="shared" si="3"/>
        <v>210.532954665059</v>
      </c>
      <c r="R50">
        <f ca="1" t="shared" si="3"/>
        <v>29.056816947338</v>
      </c>
      <c r="S50">
        <f ca="1" t="shared" si="3"/>
        <v>85.3805208073442</v>
      </c>
      <c r="T50">
        <f ca="1" t="shared" si="3"/>
        <v>159.746635815347</v>
      </c>
      <c r="U50" t="str">
        <f ca="1" t="shared" si="4"/>
        <v>C4</v>
      </c>
      <c r="V50">
        <v>50</v>
      </c>
      <c r="W50" t="str">
        <f ca="1" t="shared" si="5"/>
        <v>C4</v>
      </c>
      <c r="X50">
        <f ca="1" t="shared" si="6"/>
        <v>0</v>
      </c>
    </row>
    <row r="51" spans="1:24">
      <c r="A51" t="s">
        <v>62</v>
      </c>
      <c r="B51">
        <v>0</v>
      </c>
      <c r="C51">
        <v>0.1</v>
      </c>
      <c r="D51">
        <v>60</v>
      </c>
      <c r="E51">
        <v>11</v>
      </c>
      <c r="O51">
        <f ca="1" t="shared" si="3"/>
        <v>16.2416022907352</v>
      </c>
      <c r="P51">
        <f ca="1" t="shared" si="3"/>
        <v>163.578876658598</v>
      </c>
      <c r="Q51">
        <f ca="1" t="shared" si="3"/>
        <v>273.354321348685</v>
      </c>
      <c r="R51">
        <f ca="1" t="shared" si="3"/>
        <v>76.4379396053498</v>
      </c>
      <c r="S51">
        <f ca="1" t="shared" si="3"/>
        <v>139.113778373436</v>
      </c>
      <c r="T51">
        <f ca="1" t="shared" si="3"/>
        <v>221.482324072471</v>
      </c>
      <c r="U51" t="str">
        <f ca="1" t="shared" si="4"/>
        <v>C1</v>
      </c>
      <c r="V51">
        <v>51</v>
      </c>
      <c r="W51" t="str">
        <f ca="1" t="shared" si="5"/>
        <v>C1</v>
      </c>
      <c r="X51">
        <f ca="1" t="shared" si="6"/>
        <v>0</v>
      </c>
    </row>
    <row r="52" spans="1:24">
      <c r="A52" t="s">
        <v>63</v>
      </c>
      <c r="B52">
        <v>6</v>
      </c>
      <c r="C52">
        <v>143</v>
      </c>
      <c r="D52">
        <v>51</v>
      </c>
      <c r="E52">
        <v>11</v>
      </c>
      <c r="O52">
        <f ca="1" t="shared" si="3"/>
        <v>127.917586264515</v>
      </c>
      <c r="P52">
        <f ca="1" t="shared" si="3"/>
        <v>23.7831639797755</v>
      </c>
      <c r="Q52">
        <f ca="1" t="shared" si="3"/>
        <v>131.303560500087</v>
      </c>
      <c r="R52">
        <f ca="1" t="shared" si="3"/>
        <v>67.8021529484459</v>
      </c>
      <c r="S52">
        <f ca="1" t="shared" si="3"/>
        <v>28.3989436423259</v>
      </c>
      <c r="T52">
        <f ca="1" t="shared" si="3"/>
        <v>80.6879372017685</v>
      </c>
      <c r="U52" t="str">
        <f ca="1" t="shared" si="4"/>
        <v>C2</v>
      </c>
      <c r="V52">
        <v>52</v>
      </c>
      <c r="W52" t="str">
        <f ca="1" t="shared" si="5"/>
        <v>C2</v>
      </c>
      <c r="X52">
        <f ca="1" t="shared" si="6"/>
        <v>0</v>
      </c>
    </row>
  </sheetData>
  <mergeCells count="2">
    <mergeCell ref="G1:K1"/>
    <mergeCell ref="O1:R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workbookViewId="0">
      <selection activeCell="L33" sqref="L33:L34"/>
    </sheetView>
  </sheetViews>
  <sheetFormatPr defaultColWidth="9" defaultRowHeight="15"/>
  <cols>
    <col min="23" max="23" width="10.5714285714286" customWidth="1"/>
  </cols>
  <sheetData>
    <row r="1" spans="6:22">
      <c r="F1">
        <f ca="1">_xlfn.SHEET(A1)-1</f>
        <v>6</v>
      </c>
      <c r="G1" s="7" t="s">
        <v>0</v>
      </c>
      <c r="H1" s="7"/>
      <c r="I1" s="7"/>
      <c r="J1" s="7"/>
      <c r="K1" s="7"/>
      <c r="L1" s="7"/>
      <c r="M1" s="7"/>
      <c r="O1" s="7" t="s">
        <v>1</v>
      </c>
      <c r="P1" s="7"/>
      <c r="Q1" s="7"/>
      <c r="R1" s="7"/>
      <c r="V1">
        <v>1</v>
      </c>
    </row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7</v>
      </c>
      <c r="V2">
        <v>2</v>
      </c>
      <c r="W2" t="s">
        <v>64</v>
      </c>
      <c r="X2" t="s">
        <v>65</v>
      </c>
    </row>
    <row r="3" spans="1:24">
      <c r="A3" t="s">
        <v>14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M3" si="0">IFERROR(AVERAGEIFS(INDIRECT($F$1&amp;"!"&amp;ADDRESS(3,$F3,1)):INDIRECT($F$1&amp;"!"&amp;ADDRESS(52,$F3,1)),INDIRECT($F$1&amp;"!$U$3"):INDIRECT($F$1&amp;"!$U$52"),H$2),0)</f>
        <v>2.16923076923077</v>
      </c>
      <c r="I3">
        <f ca="1" t="shared" si="0"/>
        <v>9.2</v>
      </c>
      <c r="J3">
        <f ca="1" t="shared" si="0"/>
        <v>11.75</v>
      </c>
      <c r="K3">
        <f ca="1" t="shared" si="0"/>
        <v>4.58333333333333</v>
      </c>
      <c r="L3">
        <f ca="1" t="shared" si="0"/>
        <v>8</v>
      </c>
      <c r="M3">
        <f ca="1" t="shared" si="0"/>
        <v>9.44444444444444</v>
      </c>
      <c r="O3">
        <f ca="1">SQRT(SUMXMY2($B3:$E3,H$3:H$6))</f>
        <v>178.395286110673</v>
      </c>
      <c r="P3">
        <f ca="1" t="shared" ref="P3:T18" si="1">SQRT(SUMXMY2($B3:$E3,I$3:I$6))</f>
        <v>25.784491462893</v>
      </c>
      <c r="Q3">
        <f ca="1" t="shared" si="1"/>
        <v>80.7627698881112</v>
      </c>
      <c r="R3">
        <f ca="1" t="shared" si="1"/>
        <v>117.488149520612</v>
      </c>
      <c r="S3">
        <f ca="1" t="shared" si="1"/>
        <v>60.2257657248362</v>
      </c>
      <c r="T3">
        <f ca="1" t="shared" si="1"/>
        <v>31.4940715565624</v>
      </c>
      <c r="U3" t="str">
        <f ca="1">INDEX($O$2:$T$2,1,MATCH(MIN(O3:T3),O3:T3,0))</f>
        <v>C2</v>
      </c>
      <c r="V3">
        <v>3</v>
      </c>
      <c r="W3" t="str">
        <f ca="1">INDIRECT($F$1&amp;"!U"&amp;V3)</f>
        <v>C2</v>
      </c>
      <c r="X3">
        <f ca="1">IF(U3=W3,0,1)</f>
        <v>0</v>
      </c>
    </row>
    <row r="4" spans="1:24">
      <c r="A4" t="s">
        <v>15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M4" si="2">IFERROR(AVERAGEIFS(INDIRECT($F$1&amp;"!"&amp;ADDRESS(3,$F4,1)):INDIRECT($F$1&amp;"!"&amp;ADDRESS(52,$F4,1)),INDIRECT($F$1&amp;"!$U$3"):INDIRECT($F$1&amp;"!$U$52"),H$2),0)</f>
        <v>15.1846153846154</v>
      </c>
      <c r="I4">
        <f ca="1" t="shared" si="2"/>
        <v>168.4</v>
      </c>
      <c r="J4">
        <f ca="1" t="shared" si="2"/>
        <v>272.75</v>
      </c>
      <c r="K4">
        <f ca="1" t="shared" si="2"/>
        <v>76.0833333333333</v>
      </c>
      <c r="L4">
        <f ca="1" t="shared" si="2"/>
        <v>137.428571428571</v>
      </c>
      <c r="M4">
        <f ca="1" t="shared" si="2"/>
        <v>220.666666666667</v>
      </c>
      <c r="O4">
        <f ca="1" t="shared" ref="O4:T52" si="3">SQRT(SUMXMY2($B4:$E4,H$3:H$6))</f>
        <v>209.790814381413</v>
      </c>
      <c r="P4">
        <f ca="1" t="shared" si="1"/>
        <v>60.6847592069047</v>
      </c>
      <c r="Q4">
        <f ca="1" t="shared" si="1"/>
        <v>58.1001290876363</v>
      </c>
      <c r="R4">
        <f ca="1" t="shared" si="1"/>
        <v>149.347353322529</v>
      </c>
      <c r="S4">
        <f ca="1" t="shared" si="1"/>
        <v>94.0205144787942</v>
      </c>
      <c r="T4">
        <f ca="1" t="shared" si="1"/>
        <v>28.4290322829183</v>
      </c>
      <c r="U4" t="str">
        <f ca="1" t="shared" ref="U4:U52" si="4">INDEX($O$2:$T$2,1,MATCH(MIN(O4:T4),O4:T4,0))</f>
        <v>C6</v>
      </c>
      <c r="V4">
        <v>4</v>
      </c>
      <c r="W4" t="str">
        <f ca="1" t="shared" ref="W4:W52" si="5">INDIRECT($F$1&amp;"!U"&amp;V4)</f>
        <v>C6</v>
      </c>
      <c r="X4">
        <f ca="1" t="shared" ref="X4:X52" si="6">IF(U4=W4,0,1)</f>
        <v>0</v>
      </c>
    </row>
    <row r="5" spans="1:24">
      <c r="A5" t="s">
        <v>16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M5" si="7">IFERROR(AVERAGEIFS(INDIRECT($F$1&amp;"!"&amp;ADDRESS(3,$F5,1)):INDIRECT($F$1&amp;"!"&amp;ADDRESS(52,$F5,1)),INDIRECT($F$1&amp;"!$U$3"):INDIRECT($F$1&amp;"!$U$52"),H$2),0)</f>
        <v>54.3846153846154</v>
      </c>
      <c r="I5">
        <f ca="1" t="shared" si="7"/>
        <v>58.2</v>
      </c>
      <c r="J5">
        <f ca="1" t="shared" si="7"/>
        <v>62.5</v>
      </c>
      <c r="K5">
        <f ca="1" t="shared" si="7"/>
        <v>59.3333333333333</v>
      </c>
      <c r="L5">
        <f ca="1" t="shared" si="7"/>
        <v>73.8571428571429</v>
      </c>
      <c r="M5">
        <f ca="1" t="shared" si="7"/>
        <v>63.8888888888889</v>
      </c>
      <c r="O5">
        <f ca="1" t="shared" si="3"/>
        <v>212.429248924946</v>
      </c>
      <c r="P5">
        <f ca="1" t="shared" si="1"/>
        <v>59.9953331518377</v>
      </c>
      <c r="Q5">
        <f ca="1" t="shared" si="1"/>
        <v>48.1780551703781</v>
      </c>
      <c r="R5">
        <f ca="1" t="shared" si="1"/>
        <v>150.941926838694</v>
      </c>
      <c r="S5">
        <f ca="1" t="shared" si="1"/>
        <v>89.1443452256748</v>
      </c>
      <c r="T5">
        <f ca="1" t="shared" si="1"/>
        <v>10.4343923258557</v>
      </c>
      <c r="U5" t="str">
        <f ca="1" t="shared" si="4"/>
        <v>C6</v>
      </c>
      <c r="V5">
        <v>5</v>
      </c>
      <c r="W5" t="str">
        <f ca="1" t="shared" si="5"/>
        <v>C6</v>
      </c>
      <c r="X5">
        <f ca="1" t="shared" si="6"/>
        <v>0</v>
      </c>
    </row>
    <row r="6" spans="1:24">
      <c r="A6" t="s">
        <v>17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M6" si="8">IFERROR(AVERAGEIFS(INDIRECT($F$1&amp;"!"&amp;ADDRESS(3,$F6,1)):INDIRECT($F$1&amp;"!"&amp;ADDRESS(52,$F6,1)),INDIRECT($F$1&amp;"!$U$3"):INDIRECT($F$1&amp;"!$U$52"),H$2),0)</f>
        <v>11.0769230769231</v>
      </c>
      <c r="I6">
        <f ca="1" t="shared" si="8"/>
        <v>21</v>
      </c>
      <c r="J6">
        <f ca="1" t="shared" si="8"/>
        <v>26.5</v>
      </c>
      <c r="K6">
        <f ca="1" t="shared" si="8"/>
        <v>17.9166666666667</v>
      </c>
      <c r="L6">
        <f ca="1" t="shared" si="8"/>
        <v>20.2857142857143</v>
      </c>
      <c r="M6">
        <f ca="1" t="shared" si="8"/>
        <v>28.3333333333333</v>
      </c>
      <c r="O6">
        <f ca="1" t="shared" si="3"/>
        <v>162.088013931799</v>
      </c>
      <c r="P6">
        <f ca="1" t="shared" si="1"/>
        <v>12.595237195067</v>
      </c>
      <c r="Q6">
        <f ca="1" t="shared" si="1"/>
        <v>97.1011070997648</v>
      </c>
      <c r="R6">
        <f ca="1" t="shared" si="1"/>
        <v>101.409065724476</v>
      </c>
      <c r="S6">
        <f ca="1" t="shared" si="1"/>
        <v>46.3233973587554</v>
      </c>
      <c r="T6">
        <f ca="1" t="shared" si="1"/>
        <v>47.2250979516529</v>
      </c>
      <c r="U6" t="str">
        <f ca="1" t="shared" si="4"/>
        <v>C2</v>
      </c>
      <c r="V6">
        <v>6</v>
      </c>
      <c r="W6" t="str">
        <f ca="1" t="shared" si="5"/>
        <v>C2</v>
      </c>
      <c r="X6">
        <f ca="1" t="shared" si="6"/>
        <v>0</v>
      </c>
    </row>
    <row r="7" spans="1:24">
      <c r="A7" t="s">
        <v>18</v>
      </c>
      <c r="B7">
        <v>7</v>
      </c>
      <c r="C7">
        <v>235</v>
      </c>
      <c r="D7">
        <v>86</v>
      </c>
      <c r="E7">
        <v>39</v>
      </c>
      <c r="O7">
        <f ca="1" t="shared" si="3"/>
        <v>223.87802575108</v>
      </c>
      <c r="P7">
        <f ca="1" t="shared" si="1"/>
        <v>74.4126333360136</v>
      </c>
      <c r="Q7">
        <f ca="1" t="shared" si="1"/>
        <v>46.4340930782545</v>
      </c>
      <c r="R7">
        <f ca="1" t="shared" si="1"/>
        <v>162.529890413357</v>
      </c>
      <c r="S7">
        <f ca="1" t="shared" si="1"/>
        <v>100.094241307166</v>
      </c>
      <c r="T7">
        <f ca="1" t="shared" si="1"/>
        <v>28.5324160461763</v>
      </c>
      <c r="U7" t="str">
        <f ca="1" t="shared" si="4"/>
        <v>C6</v>
      </c>
      <c r="V7">
        <v>7</v>
      </c>
      <c r="W7" t="str">
        <f ca="1" t="shared" si="5"/>
        <v>C6</v>
      </c>
      <c r="X7">
        <f ca="1" t="shared" si="6"/>
        <v>0</v>
      </c>
    </row>
    <row r="8" spans="1:24">
      <c r="A8" t="s">
        <v>19</v>
      </c>
      <c r="B8">
        <v>5</v>
      </c>
      <c r="C8">
        <v>170</v>
      </c>
      <c r="D8">
        <v>78</v>
      </c>
      <c r="E8">
        <v>37</v>
      </c>
      <c r="O8">
        <f ca="1" t="shared" si="3"/>
        <v>158.762429043334</v>
      </c>
      <c r="P8">
        <f ca="1" t="shared" si="1"/>
        <v>25.8503384890798</v>
      </c>
      <c r="Q8">
        <f ca="1" t="shared" si="1"/>
        <v>104.659567168988</v>
      </c>
      <c r="R8">
        <f ca="1" t="shared" si="1"/>
        <v>97.6377588049032</v>
      </c>
      <c r="S8">
        <f ca="1" t="shared" si="1"/>
        <v>36.9652346324025</v>
      </c>
      <c r="T8">
        <f ca="1" t="shared" si="1"/>
        <v>53.4892397163401</v>
      </c>
      <c r="U8" t="str">
        <f ca="1" t="shared" si="4"/>
        <v>C2</v>
      </c>
      <c r="V8">
        <v>8</v>
      </c>
      <c r="W8" t="str">
        <f ca="1" t="shared" si="5"/>
        <v>C2</v>
      </c>
      <c r="X8">
        <f ca="1" t="shared" si="6"/>
        <v>0</v>
      </c>
    </row>
    <row r="9" spans="1:24">
      <c r="A9" t="s">
        <v>20</v>
      </c>
      <c r="B9">
        <v>0</v>
      </c>
      <c r="C9">
        <v>35</v>
      </c>
      <c r="D9">
        <v>75</v>
      </c>
      <c r="E9">
        <v>7</v>
      </c>
      <c r="O9">
        <f ca="1" t="shared" si="3"/>
        <v>28.9649860038147</v>
      </c>
      <c r="P9">
        <f ca="1" t="shared" si="1"/>
        <v>135.493320868595</v>
      </c>
      <c r="Q9">
        <f ca="1" t="shared" si="1"/>
        <v>239.164430883859</v>
      </c>
      <c r="R9">
        <f ca="1" t="shared" si="1"/>
        <v>45.5353190147799</v>
      </c>
      <c r="S9">
        <f ca="1" t="shared" si="1"/>
        <v>103.602261420437</v>
      </c>
      <c r="T9">
        <f ca="1" t="shared" si="1"/>
        <v>187.456332363593</v>
      </c>
      <c r="U9" t="str">
        <f ca="1" t="shared" si="4"/>
        <v>C1</v>
      </c>
      <c r="V9">
        <v>9</v>
      </c>
      <c r="W9" t="str">
        <f ca="1" t="shared" si="5"/>
        <v>C1</v>
      </c>
      <c r="X9">
        <f ca="1" t="shared" si="6"/>
        <v>0</v>
      </c>
    </row>
    <row r="10" spans="1:24">
      <c r="A10" t="s">
        <v>21</v>
      </c>
      <c r="B10">
        <v>4</v>
      </c>
      <c r="C10">
        <v>198</v>
      </c>
      <c r="D10">
        <v>70</v>
      </c>
      <c r="E10">
        <v>15</v>
      </c>
      <c r="G10" t="s">
        <v>66</v>
      </c>
      <c r="I10" s="8">
        <f ca="1">SUM(X3:X52)</f>
        <v>1</v>
      </c>
      <c r="O10">
        <f ca="1" t="shared" si="3"/>
        <v>183.532142518083</v>
      </c>
      <c r="P10">
        <f ca="1" t="shared" si="1"/>
        <v>32.839610229112</v>
      </c>
      <c r="Q10">
        <f ca="1" t="shared" si="1"/>
        <v>76.3945351448649</v>
      </c>
      <c r="R10">
        <f ca="1" t="shared" si="1"/>
        <v>122.418538674137</v>
      </c>
      <c r="S10">
        <f ca="1" t="shared" si="1"/>
        <v>61.0550103244139</v>
      </c>
      <c r="T10">
        <f ca="1" t="shared" si="1"/>
        <v>27.5416631646773</v>
      </c>
      <c r="U10" t="str">
        <f ca="1" t="shared" si="4"/>
        <v>C6</v>
      </c>
      <c r="V10">
        <v>10</v>
      </c>
      <c r="W10" t="str">
        <f ca="1" t="shared" si="5"/>
        <v>C6</v>
      </c>
      <c r="X10">
        <f ca="1" t="shared" si="6"/>
        <v>0</v>
      </c>
    </row>
    <row r="11" spans="1:24">
      <c r="A11" t="s">
        <v>22</v>
      </c>
      <c r="B11">
        <v>13</v>
      </c>
      <c r="C11">
        <v>259</v>
      </c>
      <c r="D11">
        <v>74</v>
      </c>
      <c r="E11">
        <v>30</v>
      </c>
      <c r="O11">
        <f ca="1" t="shared" si="3"/>
        <v>245.572990149821</v>
      </c>
      <c r="P11">
        <f ca="1" t="shared" si="1"/>
        <v>92.484809563517</v>
      </c>
      <c r="Q11">
        <f ca="1" t="shared" si="1"/>
        <v>18.3064196390228</v>
      </c>
      <c r="R11">
        <f ca="1" t="shared" si="1"/>
        <v>184.093631822988</v>
      </c>
      <c r="S11">
        <f ca="1" t="shared" si="1"/>
        <v>122.061459929005</v>
      </c>
      <c r="T11">
        <f ca="1" t="shared" si="1"/>
        <v>39.8384081689028</v>
      </c>
      <c r="U11" t="str">
        <f ca="1" t="shared" si="4"/>
        <v>C3</v>
      </c>
      <c r="V11">
        <v>11</v>
      </c>
      <c r="W11" t="str">
        <f ca="1" t="shared" si="5"/>
        <v>C3</v>
      </c>
      <c r="X11">
        <f ca="1" t="shared" si="6"/>
        <v>0</v>
      </c>
    </row>
    <row r="12" spans="1:24">
      <c r="A12" t="s">
        <v>23</v>
      </c>
      <c r="B12">
        <v>15</v>
      </c>
      <c r="C12">
        <v>136</v>
      </c>
      <c r="D12">
        <v>52</v>
      </c>
      <c r="E12">
        <v>24</v>
      </c>
      <c r="O12">
        <f ca="1" t="shared" si="3"/>
        <v>122.203429192919</v>
      </c>
      <c r="P12">
        <f ca="1" t="shared" si="1"/>
        <v>33.6279645533297</v>
      </c>
      <c r="Q12">
        <f ca="1" t="shared" si="1"/>
        <v>137.213793038455</v>
      </c>
      <c r="R12">
        <f ca="1" t="shared" si="1"/>
        <v>61.5572791074387</v>
      </c>
      <c r="S12">
        <f ca="1" t="shared" si="1"/>
        <v>23.2931627000592</v>
      </c>
      <c r="T12">
        <f ca="1" t="shared" si="1"/>
        <v>85.7871324778106</v>
      </c>
      <c r="U12" t="str">
        <f ca="1" t="shared" si="4"/>
        <v>C5</v>
      </c>
      <c r="V12">
        <v>12</v>
      </c>
      <c r="W12" t="str">
        <f ca="1" t="shared" si="5"/>
        <v>C5</v>
      </c>
      <c r="X12">
        <f ca="1" t="shared" si="6"/>
        <v>0</v>
      </c>
    </row>
    <row r="13" spans="1:24">
      <c r="A13" t="s">
        <v>24</v>
      </c>
      <c r="B13">
        <v>5</v>
      </c>
      <c r="C13">
        <v>32</v>
      </c>
      <c r="D13">
        <v>82</v>
      </c>
      <c r="E13">
        <v>17</v>
      </c>
      <c r="O13">
        <f ca="1" t="shared" si="3"/>
        <v>32.9918584183051</v>
      </c>
      <c r="P13">
        <f ca="1" t="shared" si="1"/>
        <v>138.582249945655</v>
      </c>
      <c r="Q13">
        <f ca="1" t="shared" si="1"/>
        <v>241.819405755618</v>
      </c>
      <c r="R13">
        <f ca="1" t="shared" si="1"/>
        <v>49.5795516765172</v>
      </c>
      <c r="S13">
        <f ca="1" t="shared" si="1"/>
        <v>105.836126697294</v>
      </c>
      <c r="T13">
        <f ca="1" t="shared" si="1"/>
        <v>189.924513919753</v>
      </c>
      <c r="U13" t="str">
        <f ca="1" t="shared" si="4"/>
        <v>C1</v>
      </c>
      <c r="V13">
        <v>13</v>
      </c>
      <c r="W13" t="str">
        <f ca="1" t="shared" si="5"/>
        <v>C1</v>
      </c>
      <c r="X13">
        <f ca="1" t="shared" si="6"/>
        <v>0</v>
      </c>
    </row>
    <row r="14" spans="1:24">
      <c r="A14" t="s">
        <v>25</v>
      </c>
      <c r="B14">
        <v>0</v>
      </c>
      <c r="C14">
        <v>54</v>
      </c>
      <c r="D14">
        <v>47</v>
      </c>
      <c r="E14">
        <v>12</v>
      </c>
      <c r="O14">
        <f ca="1" t="shared" si="3"/>
        <v>39.5818678229695</v>
      </c>
      <c r="P14">
        <f ca="1" t="shared" si="1"/>
        <v>115.665206522964</v>
      </c>
      <c r="Q14">
        <f ca="1" t="shared" si="1"/>
        <v>220.091174289202</v>
      </c>
      <c r="R14">
        <f ca="1" t="shared" si="1"/>
        <v>26.3779948273388</v>
      </c>
      <c r="S14">
        <f ca="1" t="shared" si="1"/>
        <v>88.3984485965999</v>
      </c>
      <c r="T14">
        <f ca="1" t="shared" si="1"/>
        <v>168.579321550186</v>
      </c>
      <c r="U14" t="str">
        <f ca="1" t="shared" si="4"/>
        <v>C4</v>
      </c>
      <c r="V14">
        <v>14</v>
      </c>
      <c r="W14" t="str">
        <f ca="1" t="shared" si="5"/>
        <v>C4</v>
      </c>
      <c r="X14">
        <f ca="1" t="shared" si="6"/>
        <v>0</v>
      </c>
    </row>
    <row r="15" spans="1:24">
      <c r="A15" t="s">
        <v>26</v>
      </c>
      <c r="B15">
        <v>10</v>
      </c>
      <c r="C15">
        <v>218</v>
      </c>
      <c r="D15">
        <v>79</v>
      </c>
      <c r="E15">
        <v>20</v>
      </c>
      <c r="O15">
        <f ca="1" t="shared" si="3"/>
        <v>204.648331644728</v>
      </c>
      <c r="P15">
        <f ca="1" t="shared" si="1"/>
        <v>53.8</v>
      </c>
      <c r="Q15">
        <f ca="1" t="shared" si="1"/>
        <v>57.5771221927599</v>
      </c>
      <c r="R15">
        <f ca="1" t="shared" si="1"/>
        <v>143.390371403073</v>
      </c>
      <c r="S15">
        <f ca="1" t="shared" si="1"/>
        <v>80.7606693526355</v>
      </c>
      <c r="T15">
        <f ca="1" t="shared" si="1"/>
        <v>17.4702569111965</v>
      </c>
      <c r="U15" t="str">
        <f ca="1" t="shared" si="4"/>
        <v>C6</v>
      </c>
      <c r="V15">
        <v>15</v>
      </c>
      <c r="W15" t="str">
        <f ca="1" t="shared" si="5"/>
        <v>C6</v>
      </c>
      <c r="X15">
        <f ca="1" t="shared" si="6"/>
        <v>0</v>
      </c>
    </row>
    <row r="16" spans="1:24">
      <c r="A16" t="s">
        <v>27</v>
      </c>
      <c r="B16">
        <v>7</v>
      </c>
      <c r="C16">
        <v>26</v>
      </c>
      <c r="D16">
        <v>65</v>
      </c>
      <c r="E16">
        <v>19</v>
      </c>
      <c r="O16">
        <f ca="1" t="shared" si="3"/>
        <v>17.7699300561703</v>
      </c>
      <c r="P16">
        <f ca="1" t="shared" si="1"/>
        <v>142.593267723269</v>
      </c>
      <c r="Q16">
        <f ca="1" t="shared" si="1"/>
        <v>246.92230559429</v>
      </c>
      <c r="R16">
        <f ca="1" t="shared" si="1"/>
        <v>50.4724209621232</v>
      </c>
      <c r="S16">
        <f ca="1" t="shared" si="1"/>
        <v>111.791898505341</v>
      </c>
      <c r="T16">
        <f ca="1" t="shared" si="1"/>
        <v>194.908778916614</v>
      </c>
      <c r="U16" t="str">
        <f ca="1" t="shared" si="4"/>
        <v>C1</v>
      </c>
      <c r="V16">
        <v>16</v>
      </c>
      <c r="W16" t="str">
        <f ca="1" t="shared" si="5"/>
        <v>C1</v>
      </c>
      <c r="X16">
        <f ca="1" t="shared" si="6"/>
        <v>0</v>
      </c>
    </row>
    <row r="17" spans="1:24">
      <c r="A17" t="s">
        <v>28</v>
      </c>
      <c r="B17">
        <v>2</v>
      </c>
      <c r="C17">
        <v>0.1</v>
      </c>
      <c r="D17">
        <v>53</v>
      </c>
      <c r="E17">
        <v>9</v>
      </c>
      <c r="O17">
        <f ca="1" t="shared" si="3"/>
        <v>15.2906844054084</v>
      </c>
      <c r="P17">
        <f ca="1" t="shared" si="1"/>
        <v>168.960853454284</v>
      </c>
      <c r="Q17">
        <f ca="1" t="shared" si="1"/>
        <v>273.549968013158</v>
      </c>
      <c r="R17">
        <f ca="1" t="shared" si="1"/>
        <v>76.8098861547855</v>
      </c>
      <c r="S17">
        <f ca="1" t="shared" si="1"/>
        <v>139.490230072627</v>
      </c>
      <c r="T17">
        <f ca="1" t="shared" si="1"/>
        <v>221.804914004499</v>
      </c>
      <c r="U17" t="str">
        <f ca="1" t="shared" si="4"/>
        <v>C1</v>
      </c>
      <c r="V17">
        <v>17</v>
      </c>
      <c r="W17" t="str">
        <f ca="1" t="shared" si="5"/>
        <v>C1</v>
      </c>
      <c r="X17">
        <f ca="1" t="shared" si="6"/>
        <v>0</v>
      </c>
    </row>
    <row r="18" spans="1:24">
      <c r="A18" t="s">
        <v>29</v>
      </c>
      <c r="B18">
        <v>3</v>
      </c>
      <c r="C18">
        <v>80</v>
      </c>
      <c r="D18">
        <v>56</v>
      </c>
      <c r="E18">
        <v>16</v>
      </c>
      <c r="O18">
        <f ca="1" t="shared" si="3"/>
        <v>65.0274589246818</v>
      </c>
      <c r="P18">
        <f ca="1" t="shared" si="1"/>
        <v>88.78535915341</v>
      </c>
      <c r="Q18">
        <f ca="1" t="shared" si="1"/>
        <v>193.343282789964</v>
      </c>
      <c r="R18">
        <f ca="1" t="shared" si="1"/>
        <v>5.71243769720463</v>
      </c>
      <c r="S18">
        <f ca="1" t="shared" si="1"/>
        <v>60.5002951586661</v>
      </c>
      <c r="T18">
        <f ca="1" t="shared" si="1"/>
        <v>141.573258966236</v>
      </c>
      <c r="U18" t="str">
        <f ca="1" t="shared" si="4"/>
        <v>C4</v>
      </c>
      <c r="V18">
        <v>18</v>
      </c>
      <c r="W18" t="str">
        <f ca="1" t="shared" si="5"/>
        <v>C4</v>
      </c>
      <c r="X18">
        <f ca="1" t="shared" si="6"/>
        <v>0</v>
      </c>
    </row>
    <row r="19" spans="1:24">
      <c r="A19" t="s">
        <v>30</v>
      </c>
      <c r="B19">
        <v>7</v>
      </c>
      <c r="C19">
        <v>70</v>
      </c>
      <c r="D19">
        <v>43</v>
      </c>
      <c r="E19">
        <v>15</v>
      </c>
      <c r="O19">
        <f ca="1" t="shared" si="3"/>
        <v>56.3299451614635</v>
      </c>
      <c r="P19">
        <f ca="1" t="shared" si="3"/>
        <v>99.7719399430521</v>
      </c>
      <c r="Q19">
        <f ca="1" t="shared" si="3"/>
        <v>204.065246918725</v>
      </c>
      <c r="R19">
        <f ca="1" t="shared" si="3"/>
        <v>17.8362536549704</v>
      </c>
      <c r="S19">
        <f ca="1" t="shared" si="3"/>
        <v>74.3485997562448</v>
      </c>
      <c r="T19">
        <f ca="1" t="shared" si="3"/>
        <v>152.710651920148</v>
      </c>
      <c r="U19" t="str">
        <f ca="1" t="shared" si="4"/>
        <v>C4</v>
      </c>
      <c r="V19">
        <v>19</v>
      </c>
      <c r="W19" t="str">
        <f ca="1" t="shared" si="5"/>
        <v>C4</v>
      </c>
      <c r="X19">
        <f ca="1" t="shared" si="6"/>
        <v>0</v>
      </c>
    </row>
    <row r="20" spans="1:24">
      <c r="A20" t="s">
        <v>31</v>
      </c>
      <c r="B20">
        <v>15</v>
      </c>
      <c r="C20">
        <v>159</v>
      </c>
      <c r="D20">
        <v>61</v>
      </c>
      <c r="E20">
        <v>19</v>
      </c>
      <c r="O20">
        <f ca="1" t="shared" si="3"/>
        <v>144.755075740586</v>
      </c>
      <c r="P20">
        <f ca="1" t="shared" si="3"/>
        <v>11.5689238911837</v>
      </c>
      <c r="Q20">
        <f ca="1" t="shared" si="3"/>
        <v>114.053167426424</v>
      </c>
      <c r="R20">
        <f ca="1" t="shared" si="3"/>
        <v>83.59205670663</v>
      </c>
      <c r="S20">
        <f ca="1" t="shared" si="3"/>
        <v>26.1014504249422</v>
      </c>
      <c r="T20">
        <f ca="1" t="shared" si="3"/>
        <v>62.6825236045271</v>
      </c>
      <c r="U20" t="str">
        <f ca="1" t="shared" si="4"/>
        <v>C2</v>
      </c>
      <c r="V20">
        <v>20</v>
      </c>
      <c r="W20" t="str">
        <f ca="1" t="shared" si="5"/>
        <v>C2</v>
      </c>
      <c r="X20">
        <f ca="1" t="shared" si="6"/>
        <v>0</v>
      </c>
    </row>
    <row r="21" spans="1:24">
      <c r="A21" t="s">
        <v>32</v>
      </c>
      <c r="B21">
        <v>1</v>
      </c>
      <c r="C21">
        <v>0.1</v>
      </c>
      <c r="D21">
        <v>45</v>
      </c>
      <c r="E21">
        <v>7</v>
      </c>
      <c r="O21">
        <f ca="1" t="shared" si="3"/>
        <v>18.264857776227</v>
      </c>
      <c r="P21">
        <f ca="1" t="shared" si="3"/>
        <v>169.594722795257</v>
      </c>
      <c r="Q21">
        <f ca="1" t="shared" si="3"/>
        <v>274.116918485525</v>
      </c>
      <c r="R21">
        <f ca="1" t="shared" si="3"/>
        <v>78.1724073940273</v>
      </c>
      <c r="S21">
        <f ca="1" t="shared" si="3"/>
        <v>141.128953190235</v>
      </c>
      <c r="T21">
        <f ca="1" t="shared" si="3"/>
        <v>222.559799427003</v>
      </c>
      <c r="U21" t="str">
        <f ca="1" t="shared" si="4"/>
        <v>C1</v>
      </c>
      <c r="V21">
        <v>21</v>
      </c>
      <c r="W21" t="str">
        <f ca="1" t="shared" si="5"/>
        <v>C1</v>
      </c>
      <c r="X21">
        <f ca="1" t="shared" si="6"/>
        <v>0</v>
      </c>
    </row>
    <row r="22" spans="1:24">
      <c r="A22" t="s">
        <v>33</v>
      </c>
      <c r="B22">
        <v>10</v>
      </c>
      <c r="C22">
        <v>260</v>
      </c>
      <c r="D22">
        <v>63</v>
      </c>
      <c r="E22">
        <v>28</v>
      </c>
      <c r="O22">
        <f ca="1" t="shared" si="3"/>
        <v>245.675617177895</v>
      </c>
      <c r="P22">
        <f ca="1" t="shared" si="3"/>
        <v>91.9958694724932</v>
      </c>
      <c r="Q22">
        <f ca="1" t="shared" si="3"/>
        <v>12.9663024798899</v>
      </c>
      <c r="R22">
        <f ca="1" t="shared" si="3"/>
        <v>184.308975937449</v>
      </c>
      <c r="S22">
        <f ca="1" t="shared" si="3"/>
        <v>123.309135335314</v>
      </c>
      <c r="T22">
        <f ca="1" t="shared" si="3"/>
        <v>39.3487101142378</v>
      </c>
      <c r="U22" t="str">
        <f ca="1" t="shared" si="4"/>
        <v>C3</v>
      </c>
      <c r="V22">
        <v>22</v>
      </c>
      <c r="W22" t="str">
        <f ca="1" t="shared" si="5"/>
        <v>C3</v>
      </c>
      <c r="X22">
        <f ca="1" t="shared" si="6"/>
        <v>0</v>
      </c>
    </row>
    <row r="23" spans="1:24">
      <c r="A23" t="s">
        <v>34</v>
      </c>
      <c r="B23">
        <v>2</v>
      </c>
      <c r="C23">
        <v>138</v>
      </c>
      <c r="D23">
        <v>82</v>
      </c>
      <c r="E23">
        <v>13</v>
      </c>
      <c r="O23">
        <f ca="1" t="shared" si="3"/>
        <v>125.896604519684</v>
      </c>
      <c r="P23">
        <f ca="1" t="shared" si="3"/>
        <v>40.0804191594848</v>
      </c>
      <c r="Q23">
        <f ca="1" t="shared" si="3"/>
        <v>137.168236119008</v>
      </c>
      <c r="R23">
        <f ca="1" t="shared" si="3"/>
        <v>66.1687132345122</v>
      </c>
      <c r="S23">
        <f ca="1" t="shared" si="3"/>
        <v>12.47855302967</v>
      </c>
      <c r="T23">
        <f ca="1" t="shared" si="3"/>
        <v>86.3268265816271</v>
      </c>
      <c r="U23" t="str">
        <f ca="1" t="shared" si="4"/>
        <v>C5</v>
      </c>
      <c r="V23">
        <v>23</v>
      </c>
      <c r="W23" t="str">
        <f ca="1" t="shared" si="5"/>
        <v>C5</v>
      </c>
      <c r="X23">
        <f ca="1" t="shared" si="6"/>
        <v>0</v>
      </c>
    </row>
    <row r="24" spans="1:24">
      <c r="A24" t="s">
        <v>35</v>
      </c>
      <c r="B24">
        <v>11</v>
      </c>
      <c r="C24">
        <v>251</v>
      </c>
      <c r="D24">
        <v>68</v>
      </c>
      <c r="E24">
        <v>35</v>
      </c>
      <c r="O24">
        <f ca="1" t="shared" si="3"/>
        <v>237.580660859004</v>
      </c>
      <c r="P24">
        <f ca="1" t="shared" si="3"/>
        <v>84.3684775256731</v>
      </c>
      <c r="Q24">
        <f ca="1" t="shared" si="3"/>
        <v>24.0026040253969</v>
      </c>
      <c r="R24">
        <f ca="1" t="shared" si="3"/>
        <v>176.07942888872</v>
      </c>
      <c r="S24">
        <f ca="1" t="shared" si="3"/>
        <v>114.709571153787</v>
      </c>
      <c r="T24">
        <f ca="1" t="shared" si="3"/>
        <v>31.366806391628</v>
      </c>
      <c r="U24" t="str">
        <f ca="1" t="shared" si="4"/>
        <v>C3</v>
      </c>
      <c r="V24">
        <v>24</v>
      </c>
      <c r="W24" t="str">
        <f ca="1" t="shared" si="5"/>
        <v>C3</v>
      </c>
      <c r="X24">
        <f ca="1" t="shared" si="6"/>
        <v>0</v>
      </c>
    </row>
    <row r="25" spans="1:24">
      <c r="A25" t="s">
        <v>36</v>
      </c>
      <c r="B25">
        <v>1</v>
      </c>
      <c r="C25">
        <v>3</v>
      </c>
      <c r="D25">
        <v>62</v>
      </c>
      <c r="E25">
        <v>14</v>
      </c>
      <c r="O25">
        <f ca="1" t="shared" si="3"/>
        <v>14.7095348057368</v>
      </c>
      <c r="P25">
        <f ca="1" t="shared" si="3"/>
        <v>165.794571684359</v>
      </c>
      <c r="Q25">
        <f ca="1" t="shared" si="3"/>
        <v>270.253815884254</v>
      </c>
      <c r="R25">
        <f ca="1" t="shared" si="3"/>
        <v>73.3243839236156</v>
      </c>
      <c r="S25">
        <f ca="1" t="shared" si="3"/>
        <v>135.27802059885</v>
      </c>
      <c r="T25">
        <f ca="1" t="shared" si="3"/>
        <v>218.309639653021</v>
      </c>
      <c r="U25" t="str">
        <f ca="1" t="shared" si="4"/>
        <v>C1</v>
      </c>
      <c r="V25">
        <v>25</v>
      </c>
      <c r="W25" t="str">
        <f ca="1" t="shared" si="5"/>
        <v>C1</v>
      </c>
      <c r="X25">
        <f ca="1" t="shared" si="6"/>
        <v>0</v>
      </c>
    </row>
    <row r="26" spans="1:24">
      <c r="A26" t="s">
        <v>37</v>
      </c>
      <c r="B26">
        <v>13</v>
      </c>
      <c r="C26">
        <v>209</v>
      </c>
      <c r="D26">
        <v>44</v>
      </c>
      <c r="E26">
        <v>13</v>
      </c>
      <c r="O26">
        <f ca="1" t="shared" si="3"/>
        <v>194.404854201941</v>
      </c>
      <c r="P26">
        <f ca="1" t="shared" si="3"/>
        <v>43.9140068770774</v>
      </c>
      <c r="Q26">
        <f ca="1" t="shared" si="3"/>
        <v>67.7504612530424</v>
      </c>
      <c r="R26">
        <f ca="1" t="shared" si="3"/>
        <v>134.152768431284</v>
      </c>
      <c r="S26">
        <f ca="1" t="shared" si="3"/>
        <v>78.0512652043514</v>
      </c>
      <c r="T26">
        <f ca="1" t="shared" si="3"/>
        <v>27.9183111732324</v>
      </c>
      <c r="U26" t="str">
        <f ca="1" t="shared" si="4"/>
        <v>C6</v>
      </c>
      <c r="V26">
        <v>26</v>
      </c>
      <c r="W26" t="str">
        <f ca="1" t="shared" si="5"/>
        <v>C6</v>
      </c>
      <c r="X26">
        <f ca="1" t="shared" si="6"/>
        <v>0</v>
      </c>
    </row>
    <row r="27" spans="1:24">
      <c r="A27" t="s">
        <v>38</v>
      </c>
      <c r="B27">
        <v>8</v>
      </c>
      <c r="C27">
        <v>80</v>
      </c>
      <c r="D27">
        <v>61</v>
      </c>
      <c r="E27">
        <v>28</v>
      </c>
      <c r="O27">
        <f ca="1" t="shared" si="3"/>
        <v>67.5661586803377</v>
      </c>
      <c r="P27">
        <f ca="1" t="shared" si="3"/>
        <v>88.7290256905822</v>
      </c>
      <c r="Q27">
        <f ca="1" t="shared" si="3"/>
        <v>192.798145737971</v>
      </c>
      <c r="R27">
        <f ca="1" t="shared" si="3"/>
        <v>11.4658308803932</v>
      </c>
      <c r="S27">
        <f ca="1" t="shared" si="3"/>
        <v>59.3536615791911</v>
      </c>
      <c r="T27">
        <f ca="1" t="shared" si="3"/>
        <v>140.704137540399</v>
      </c>
      <c r="U27" t="str">
        <f ca="1" t="shared" si="4"/>
        <v>C4</v>
      </c>
      <c r="V27">
        <v>27</v>
      </c>
      <c r="W27" t="str">
        <f ca="1" t="shared" si="5"/>
        <v>C4</v>
      </c>
      <c r="X27">
        <f ca="1" t="shared" si="6"/>
        <v>0</v>
      </c>
    </row>
    <row r="28" spans="1:24">
      <c r="A28" t="s">
        <v>39</v>
      </c>
      <c r="B28">
        <v>5</v>
      </c>
      <c r="C28">
        <v>19</v>
      </c>
      <c r="D28">
        <v>45</v>
      </c>
      <c r="E28">
        <v>15</v>
      </c>
      <c r="O28">
        <f ca="1" t="shared" si="3"/>
        <v>11.2263953548199</v>
      </c>
      <c r="P28">
        <f ca="1" t="shared" si="3"/>
        <v>150.160713903471</v>
      </c>
      <c r="Q28">
        <f ca="1" t="shared" si="3"/>
        <v>254.702031794016</v>
      </c>
      <c r="R28">
        <f ca="1" t="shared" si="3"/>
        <v>58.9290416046659</v>
      </c>
      <c r="S28">
        <f ca="1" t="shared" si="3"/>
        <v>122.045073640848</v>
      </c>
      <c r="T28">
        <f ca="1" t="shared" si="3"/>
        <v>203.036364802217</v>
      </c>
      <c r="U28" t="str">
        <f ca="1" t="shared" si="4"/>
        <v>C1</v>
      </c>
      <c r="V28">
        <v>28</v>
      </c>
      <c r="W28" t="str">
        <f ca="1" t="shared" si="5"/>
        <v>C1</v>
      </c>
      <c r="X28">
        <f ca="1" t="shared" si="6"/>
        <v>0</v>
      </c>
    </row>
    <row r="29" spans="1:24">
      <c r="A29" t="s">
        <v>40</v>
      </c>
      <c r="B29">
        <v>4</v>
      </c>
      <c r="C29">
        <v>10</v>
      </c>
      <c r="D29">
        <v>56</v>
      </c>
      <c r="E29">
        <v>13</v>
      </c>
      <c r="O29">
        <f ca="1" t="shared" si="3"/>
        <v>6.0448031374408</v>
      </c>
      <c r="P29">
        <f ca="1" t="shared" si="3"/>
        <v>158.702362931369</v>
      </c>
      <c r="Q29">
        <f ca="1" t="shared" si="3"/>
        <v>263.290951230763</v>
      </c>
      <c r="R29">
        <f ca="1" t="shared" si="3"/>
        <v>66.3523318689286</v>
      </c>
      <c r="S29">
        <f ca="1" t="shared" si="3"/>
        <v>128.941847357636</v>
      </c>
      <c r="T29">
        <f ca="1" t="shared" si="3"/>
        <v>211.441320698593</v>
      </c>
      <c r="U29" t="str">
        <f ca="1" t="shared" si="4"/>
        <v>C1</v>
      </c>
      <c r="V29">
        <v>29</v>
      </c>
      <c r="W29" t="str">
        <f ca="1" t="shared" si="5"/>
        <v>C1</v>
      </c>
      <c r="X29">
        <f ca="1" t="shared" si="6"/>
        <v>0</v>
      </c>
    </row>
    <row r="30" spans="1:24">
      <c r="A30" t="s">
        <v>41</v>
      </c>
      <c r="B30">
        <v>11</v>
      </c>
      <c r="C30">
        <v>239</v>
      </c>
      <c r="D30">
        <v>75</v>
      </c>
      <c r="E30">
        <v>43</v>
      </c>
      <c r="O30">
        <f ca="1" t="shared" si="3"/>
        <v>227.190197409168</v>
      </c>
      <c r="P30">
        <f ca="1" t="shared" si="3"/>
        <v>75.8540704247307</v>
      </c>
      <c r="Q30">
        <f ca="1" t="shared" si="3"/>
        <v>39.5995580783422</v>
      </c>
      <c r="R30">
        <f ca="1" t="shared" si="3"/>
        <v>165.703445783256</v>
      </c>
      <c r="S30">
        <f ca="1" t="shared" si="3"/>
        <v>104.129726783469</v>
      </c>
      <c r="T30">
        <f ca="1" t="shared" si="3"/>
        <v>26.0211215252552</v>
      </c>
      <c r="U30" t="str">
        <f ca="1" t="shared" si="4"/>
        <v>C6</v>
      </c>
      <c r="V30">
        <v>30</v>
      </c>
      <c r="W30" t="str">
        <f ca="1" t="shared" si="5"/>
        <v>C6</v>
      </c>
      <c r="X30">
        <f ca="1" t="shared" si="6"/>
        <v>0</v>
      </c>
    </row>
    <row r="31" spans="1:24">
      <c r="A31" t="s">
        <v>42</v>
      </c>
      <c r="B31">
        <v>0</v>
      </c>
      <c r="C31">
        <v>0.1</v>
      </c>
      <c r="D31">
        <v>53</v>
      </c>
      <c r="E31">
        <v>6</v>
      </c>
      <c r="O31">
        <f ca="1" t="shared" si="3"/>
        <v>16.1227631355255</v>
      </c>
      <c r="P31">
        <f ca="1" t="shared" si="3"/>
        <v>169.297282907907</v>
      </c>
      <c r="Q31">
        <f ca="1" t="shared" si="3"/>
        <v>273.83678533024</v>
      </c>
      <c r="R31">
        <f ca="1" t="shared" si="3"/>
        <v>77.3084209154762</v>
      </c>
      <c r="S31">
        <f ca="1" t="shared" si="3"/>
        <v>139.865072735936</v>
      </c>
      <c r="T31">
        <f ca="1" t="shared" si="3"/>
        <v>222.162547821006</v>
      </c>
      <c r="U31" t="str">
        <f ca="1" t="shared" si="4"/>
        <v>C1</v>
      </c>
      <c r="V31">
        <v>31</v>
      </c>
      <c r="W31" t="str">
        <f ca="1" t="shared" si="5"/>
        <v>C1</v>
      </c>
      <c r="X31">
        <f ca="1" t="shared" si="6"/>
        <v>0</v>
      </c>
    </row>
    <row r="32" spans="1:24">
      <c r="A32" t="s">
        <v>43</v>
      </c>
      <c r="B32">
        <v>5</v>
      </c>
      <c r="C32">
        <v>155</v>
      </c>
      <c r="D32">
        <v>87</v>
      </c>
      <c r="E32">
        <v>19</v>
      </c>
      <c r="O32">
        <f ca="1" t="shared" si="3"/>
        <v>143.81548418416</v>
      </c>
      <c r="P32">
        <f ca="1" t="shared" si="3"/>
        <v>32.103582354622</v>
      </c>
      <c r="Q32">
        <f ca="1" t="shared" si="3"/>
        <v>120.694345352216</v>
      </c>
      <c r="R32">
        <f ca="1" t="shared" si="3"/>
        <v>83.6339162328564</v>
      </c>
      <c r="S32">
        <f ca="1" t="shared" si="3"/>
        <v>22.1842930277901</v>
      </c>
      <c r="T32">
        <f ca="1" t="shared" si="3"/>
        <v>70.3782549189172</v>
      </c>
      <c r="U32" t="str">
        <f ca="1" t="shared" si="4"/>
        <v>C5</v>
      </c>
      <c r="V32">
        <v>32</v>
      </c>
      <c r="W32" t="str">
        <f ca="1" t="shared" si="5"/>
        <v>C5</v>
      </c>
      <c r="X32">
        <f ca="1" t="shared" si="6"/>
        <v>0</v>
      </c>
    </row>
    <row r="33" spans="1:24">
      <c r="A33" t="s">
        <v>44</v>
      </c>
      <c r="B33">
        <v>12</v>
      </c>
      <c r="C33">
        <v>229</v>
      </c>
      <c r="D33">
        <v>64</v>
      </c>
      <c r="E33">
        <v>32</v>
      </c>
      <c r="O33">
        <f ca="1" t="shared" si="3"/>
        <v>215.276318927847</v>
      </c>
      <c r="P33">
        <f ca="1" t="shared" si="3"/>
        <v>61.9260849723281</v>
      </c>
      <c r="Q33">
        <f ca="1" t="shared" si="3"/>
        <v>44.1205734323569</v>
      </c>
      <c r="R33">
        <f ca="1" t="shared" si="3"/>
        <v>153.8136273041</v>
      </c>
      <c r="S33">
        <f ca="1" t="shared" si="3"/>
        <v>92.9285439771564</v>
      </c>
      <c r="T33">
        <f ca="1" t="shared" si="3"/>
        <v>9.45685459153477</v>
      </c>
      <c r="U33" t="str">
        <f ca="1" t="shared" si="4"/>
        <v>C6</v>
      </c>
      <c r="V33">
        <v>33</v>
      </c>
      <c r="W33" t="str">
        <f ca="1" t="shared" si="5"/>
        <v>C6</v>
      </c>
      <c r="X33">
        <f ca="1" t="shared" si="6"/>
        <v>0</v>
      </c>
    </row>
    <row r="34" spans="1:24">
      <c r="A34" t="s">
        <v>45</v>
      </c>
      <c r="B34">
        <v>9</v>
      </c>
      <c r="C34">
        <v>161</v>
      </c>
      <c r="D34">
        <v>85</v>
      </c>
      <c r="E34">
        <v>23</v>
      </c>
      <c r="O34">
        <f ca="1" t="shared" si="3"/>
        <v>149.627027429132</v>
      </c>
      <c r="P34">
        <f ca="1" t="shared" si="3"/>
        <v>27.8754372163021</v>
      </c>
      <c r="Q34">
        <f ca="1" t="shared" si="3"/>
        <v>114.07946791601</v>
      </c>
      <c r="R34">
        <f ca="1" t="shared" si="3"/>
        <v>88.9660906063528</v>
      </c>
      <c r="S34">
        <f ca="1" t="shared" si="3"/>
        <v>26.2324771446171</v>
      </c>
      <c r="T34">
        <f ca="1" t="shared" si="3"/>
        <v>63.5171795561282</v>
      </c>
      <c r="U34" t="str">
        <f ca="1" t="shared" si="4"/>
        <v>C5</v>
      </c>
      <c r="V34">
        <v>34</v>
      </c>
      <c r="W34" t="str">
        <f ca="1" t="shared" si="5"/>
        <v>C5</v>
      </c>
      <c r="X34">
        <f ca="1" t="shared" si="6"/>
        <v>0</v>
      </c>
    </row>
    <row r="35" spans="1:24">
      <c r="A35" t="s">
        <v>46</v>
      </c>
      <c r="B35">
        <v>13</v>
      </c>
      <c r="C35">
        <v>321</v>
      </c>
      <c r="D35">
        <v>45</v>
      </c>
      <c r="E35">
        <v>13</v>
      </c>
      <c r="O35">
        <f ca="1" t="shared" si="3"/>
        <v>306.157025495668</v>
      </c>
      <c r="P35">
        <f ca="1" t="shared" si="3"/>
        <v>153.425682335129</v>
      </c>
      <c r="Q35">
        <f ca="1" t="shared" si="3"/>
        <v>53.0860151075592</v>
      </c>
      <c r="R35">
        <f ca="1" t="shared" si="3"/>
        <v>245.52928938203</v>
      </c>
      <c r="S35">
        <f ca="1" t="shared" si="3"/>
        <v>186.035710857582</v>
      </c>
      <c r="T35">
        <f ca="1" t="shared" si="3"/>
        <v>103.302086076005</v>
      </c>
      <c r="U35" t="str">
        <f ca="1" t="shared" si="4"/>
        <v>C3</v>
      </c>
      <c r="V35">
        <v>35</v>
      </c>
      <c r="W35" t="str">
        <f ca="1" t="shared" si="5"/>
        <v>C3</v>
      </c>
      <c r="X35">
        <f ca="1" t="shared" si="6"/>
        <v>0</v>
      </c>
    </row>
    <row r="36" spans="1:24">
      <c r="A36" t="s">
        <v>47</v>
      </c>
      <c r="B36">
        <v>0.1</v>
      </c>
      <c r="C36">
        <v>27</v>
      </c>
      <c r="D36">
        <v>44</v>
      </c>
      <c r="E36">
        <v>6</v>
      </c>
      <c r="O36">
        <f ca="1" t="shared" si="3"/>
        <v>16.6583436812062</v>
      </c>
      <c r="P36">
        <f ca="1" t="shared" si="3"/>
        <v>143.190118374139</v>
      </c>
      <c r="Q36">
        <f ca="1" t="shared" si="3"/>
        <v>247.570767660481</v>
      </c>
      <c r="R36">
        <f ca="1" t="shared" si="3"/>
        <v>52.9753899886017</v>
      </c>
      <c r="S36">
        <f ca="1" t="shared" si="3"/>
        <v>115.55262870225</v>
      </c>
      <c r="T36">
        <f ca="1" t="shared" si="3"/>
        <v>196.184714233208</v>
      </c>
      <c r="U36" t="str">
        <f ca="1" t="shared" si="4"/>
        <v>C1</v>
      </c>
      <c r="V36">
        <v>36</v>
      </c>
      <c r="W36" t="str">
        <f ca="1" t="shared" si="5"/>
        <v>C1</v>
      </c>
      <c r="X36">
        <f ca="1" t="shared" si="6"/>
        <v>0</v>
      </c>
    </row>
    <row r="37" spans="1:24">
      <c r="A37" t="s">
        <v>48</v>
      </c>
      <c r="B37">
        <v>8</v>
      </c>
      <c r="C37">
        <v>119</v>
      </c>
      <c r="D37">
        <v>73</v>
      </c>
      <c r="E37">
        <v>18</v>
      </c>
      <c r="O37">
        <f ca="1" t="shared" si="3"/>
        <v>105.858837567415</v>
      </c>
      <c r="P37">
        <f ca="1" t="shared" si="3"/>
        <v>51.6704944818607</v>
      </c>
      <c r="Q37">
        <f ca="1" t="shared" si="3"/>
        <v>154.387904318959</v>
      </c>
      <c r="R37">
        <f ca="1" t="shared" si="3"/>
        <v>45.1696647221463</v>
      </c>
      <c r="S37">
        <f ca="1" t="shared" si="3"/>
        <v>18.589551596836</v>
      </c>
      <c r="T37">
        <f ca="1" t="shared" si="3"/>
        <v>102.605982546443</v>
      </c>
      <c r="U37" t="str">
        <f ca="1" t="shared" si="4"/>
        <v>C5</v>
      </c>
      <c r="V37">
        <v>37</v>
      </c>
      <c r="W37" t="str">
        <f ca="1" t="shared" si="5"/>
        <v>C5</v>
      </c>
      <c r="X37">
        <f ca="1" t="shared" si="6"/>
        <v>0</v>
      </c>
    </row>
    <row r="38" spans="1:24">
      <c r="A38" t="s">
        <v>49</v>
      </c>
      <c r="B38">
        <v>4</v>
      </c>
      <c r="C38">
        <v>116</v>
      </c>
      <c r="D38">
        <v>59</v>
      </c>
      <c r="E38">
        <v>20</v>
      </c>
      <c r="O38">
        <f ca="1" t="shared" si="3"/>
        <v>101.331222079117</v>
      </c>
      <c r="P38">
        <f ca="1" t="shared" si="3"/>
        <v>52.6729532113019</v>
      </c>
      <c r="Q38">
        <f ca="1" t="shared" si="3"/>
        <v>157.115005648729</v>
      </c>
      <c r="R38">
        <f ca="1" t="shared" si="3"/>
        <v>39.9766424858872</v>
      </c>
      <c r="S38">
        <f ca="1" t="shared" si="3"/>
        <v>26.3818119165458</v>
      </c>
      <c r="T38">
        <f ca="1" t="shared" si="3"/>
        <v>105.252547548419</v>
      </c>
      <c r="U38" t="str">
        <f ca="1" t="shared" si="4"/>
        <v>C5</v>
      </c>
      <c r="V38">
        <v>38</v>
      </c>
      <c r="W38" t="str">
        <f ca="1" t="shared" si="5"/>
        <v>C5</v>
      </c>
      <c r="X38">
        <f ca="1" t="shared" si="6"/>
        <v>0</v>
      </c>
    </row>
    <row r="39" spans="1:24">
      <c r="A39" t="s">
        <v>50</v>
      </c>
      <c r="B39">
        <v>4</v>
      </c>
      <c r="C39">
        <v>103</v>
      </c>
      <c r="D39">
        <v>58</v>
      </c>
      <c r="E39">
        <v>29</v>
      </c>
      <c r="O39">
        <f ca="1" t="shared" si="3"/>
        <v>89.7173404834982</v>
      </c>
      <c r="P39">
        <f ca="1" t="shared" si="3"/>
        <v>66.0926622250912</v>
      </c>
      <c r="Q39">
        <f ca="1" t="shared" si="3"/>
        <v>170.004779344582</v>
      </c>
      <c r="R39">
        <f ca="1" t="shared" si="3"/>
        <v>29.1455876210753</v>
      </c>
      <c r="S39">
        <f ca="1" t="shared" si="3"/>
        <v>39.0987760129941</v>
      </c>
      <c r="T39">
        <f ca="1" t="shared" si="3"/>
        <v>117.941552798593</v>
      </c>
      <c r="U39" t="str">
        <f ca="1" t="shared" si="4"/>
        <v>C4</v>
      </c>
      <c r="V39">
        <v>39</v>
      </c>
      <c r="W39" t="str">
        <f ca="1" t="shared" si="5"/>
        <v>C4</v>
      </c>
      <c r="X39">
        <f ca="1" t="shared" si="6"/>
        <v>0</v>
      </c>
    </row>
    <row r="40" spans="1:24">
      <c r="A40" t="s">
        <v>51</v>
      </c>
      <c r="B40">
        <v>4</v>
      </c>
      <c r="C40">
        <v>57</v>
      </c>
      <c r="D40">
        <v>67</v>
      </c>
      <c r="E40">
        <v>13</v>
      </c>
      <c r="O40">
        <f ca="1" t="shared" si="3"/>
        <v>43.7575623219008</v>
      </c>
      <c r="P40">
        <f ca="1" t="shared" si="3"/>
        <v>112.153644613093</v>
      </c>
      <c r="Q40">
        <f ca="1" t="shared" si="3"/>
        <v>216.357632174139</v>
      </c>
      <c r="R40">
        <f ca="1" t="shared" si="3"/>
        <v>21.1533750918802</v>
      </c>
      <c r="S40">
        <f ca="1" t="shared" si="3"/>
        <v>81.1471326841383</v>
      </c>
      <c r="T40">
        <f ca="1" t="shared" si="3"/>
        <v>164.50291753201</v>
      </c>
      <c r="U40" t="str">
        <f ca="1" t="shared" si="4"/>
        <v>C4</v>
      </c>
      <c r="V40">
        <v>40</v>
      </c>
      <c r="W40" t="str">
        <f ca="1" t="shared" si="5"/>
        <v>C4</v>
      </c>
      <c r="X40">
        <f ca="1" t="shared" si="6"/>
        <v>0</v>
      </c>
    </row>
    <row r="41" spans="1:24">
      <c r="A41" t="s">
        <v>52</v>
      </c>
      <c r="B41">
        <v>2</v>
      </c>
      <c r="C41">
        <v>97</v>
      </c>
      <c r="D41">
        <v>83</v>
      </c>
      <c r="E41">
        <v>5</v>
      </c>
      <c r="O41">
        <f ca="1" t="shared" si="3"/>
        <v>86.8881754301804</v>
      </c>
      <c r="P41">
        <f ca="1" t="shared" si="3"/>
        <v>77.5940719385186</v>
      </c>
      <c r="Q41">
        <f ca="1" t="shared" si="3"/>
        <v>178.509453531179</v>
      </c>
      <c r="R41">
        <f ca="1" t="shared" si="3"/>
        <v>34.2218051020756</v>
      </c>
      <c r="S41">
        <f ca="1" t="shared" si="3"/>
        <v>44.5837894947736</v>
      </c>
      <c r="T41">
        <f ca="1" t="shared" si="3"/>
        <v>127.508992662779</v>
      </c>
      <c r="U41" t="str">
        <f ca="1" t="shared" si="4"/>
        <v>C4</v>
      </c>
      <c r="V41">
        <v>41</v>
      </c>
      <c r="W41" t="str">
        <f ca="1" t="shared" si="5"/>
        <v>C4</v>
      </c>
      <c r="X41">
        <f ca="1" t="shared" si="6"/>
        <v>0</v>
      </c>
    </row>
    <row r="42" spans="1:24">
      <c r="A42" t="s">
        <v>53</v>
      </c>
      <c r="B42">
        <v>13</v>
      </c>
      <c r="C42">
        <v>210</v>
      </c>
      <c r="D42">
        <v>46</v>
      </c>
      <c r="E42">
        <v>21</v>
      </c>
      <c r="O42">
        <f ca="1" t="shared" si="3"/>
        <v>195.548226470453</v>
      </c>
      <c r="P42">
        <f ca="1" t="shared" si="3"/>
        <v>43.5182720245186</v>
      </c>
      <c r="Q42">
        <f ca="1" t="shared" si="3"/>
        <v>65.127759058638</v>
      </c>
      <c r="R42">
        <f ca="1" t="shared" si="3"/>
        <v>134.876975837654</v>
      </c>
      <c r="S42">
        <f ca="1" t="shared" si="3"/>
        <v>77.8982853286442</v>
      </c>
      <c r="T42">
        <f ca="1" t="shared" si="3"/>
        <v>22.3653722648028</v>
      </c>
      <c r="U42" t="str">
        <f ca="1" t="shared" si="4"/>
        <v>C6</v>
      </c>
      <c r="V42">
        <v>42</v>
      </c>
      <c r="W42" t="str">
        <f ca="1" t="shared" si="5"/>
        <v>C6</v>
      </c>
      <c r="X42">
        <f ca="1" t="shared" si="6"/>
        <v>0</v>
      </c>
    </row>
    <row r="43" spans="1:24">
      <c r="A43" t="s">
        <v>54</v>
      </c>
      <c r="B43">
        <v>3</v>
      </c>
      <c r="C43">
        <v>1</v>
      </c>
      <c r="D43">
        <v>43</v>
      </c>
      <c r="E43">
        <v>12</v>
      </c>
      <c r="O43">
        <f ca="1" t="shared" si="3"/>
        <v>18.2306069450745</v>
      </c>
      <c r="P43">
        <f ca="1" t="shared" si="3"/>
        <v>168.44358105906</v>
      </c>
      <c r="Q43">
        <f ca="1" t="shared" si="3"/>
        <v>272.974586729241</v>
      </c>
      <c r="R43">
        <f ca="1" t="shared" si="3"/>
        <v>77.0830630625892</v>
      </c>
      <c r="S43">
        <f ca="1" t="shared" si="3"/>
        <v>140.20902762865</v>
      </c>
      <c r="T43">
        <f ca="1" t="shared" si="3"/>
        <v>221.355141718985</v>
      </c>
      <c r="U43" t="str">
        <f ca="1" t="shared" si="4"/>
        <v>C1</v>
      </c>
      <c r="V43">
        <v>43</v>
      </c>
      <c r="W43" t="str">
        <f ca="1" t="shared" si="5"/>
        <v>C1</v>
      </c>
      <c r="X43">
        <f ca="1" t="shared" si="6"/>
        <v>0</v>
      </c>
    </row>
    <row r="44" spans="1:24">
      <c r="A44" t="s">
        <v>55</v>
      </c>
      <c r="B44">
        <v>14</v>
      </c>
      <c r="C44">
        <v>96</v>
      </c>
      <c r="D44">
        <v>58</v>
      </c>
      <c r="E44">
        <v>27</v>
      </c>
      <c r="O44">
        <f ca="1" t="shared" si="3"/>
        <v>83.292910116886</v>
      </c>
      <c r="P44">
        <f ca="1" t="shared" si="3"/>
        <v>72.8068678079204</v>
      </c>
      <c r="Q44">
        <f ca="1" t="shared" si="3"/>
        <v>176.822297802059</v>
      </c>
      <c r="R44">
        <f ca="1" t="shared" si="3"/>
        <v>23.8669634525309</v>
      </c>
      <c r="S44">
        <f ca="1" t="shared" si="3"/>
        <v>45.2643031853705</v>
      </c>
      <c r="T44">
        <f ca="1" t="shared" si="3"/>
        <v>124.895907276103</v>
      </c>
      <c r="U44" t="str">
        <f ca="1" t="shared" si="4"/>
        <v>C4</v>
      </c>
      <c r="V44">
        <v>44</v>
      </c>
      <c r="W44" t="str">
        <f ca="1" t="shared" si="5"/>
        <v>C4</v>
      </c>
      <c r="X44">
        <f ca="1" t="shared" si="6"/>
        <v>0</v>
      </c>
    </row>
    <row r="45" spans="1:24">
      <c r="A45" t="s">
        <v>56</v>
      </c>
      <c r="B45">
        <v>13</v>
      </c>
      <c r="C45">
        <v>137</v>
      </c>
      <c r="D45">
        <v>79</v>
      </c>
      <c r="E45">
        <v>25</v>
      </c>
      <c r="O45">
        <f ca="1" t="shared" si="3"/>
        <v>125.523156118278</v>
      </c>
      <c r="P45">
        <f ca="1" t="shared" si="3"/>
        <v>38.0662580246601</v>
      </c>
      <c r="Q45">
        <f ca="1" t="shared" si="3"/>
        <v>136.763024973858</v>
      </c>
      <c r="R45">
        <f ca="1" t="shared" si="3"/>
        <v>64.9509964853846</v>
      </c>
      <c r="S45">
        <f ca="1" t="shared" si="3"/>
        <v>8.59401785296859</v>
      </c>
      <c r="T45">
        <f ca="1" t="shared" si="3"/>
        <v>85.1599076828011</v>
      </c>
      <c r="U45" t="str">
        <f ca="1" t="shared" si="4"/>
        <v>C5</v>
      </c>
      <c r="V45">
        <v>45</v>
      </c>
      <c r="W45" t="str">
        <f ca="1" t="shared" si="5"/>
        <v>C5</v>
      </c>
      <c r="X45">
        <f ca="1" t="shared" si="6"/>
        <v>0</v>
      </c>
    </row>
    <row r="46" spans="1:24">
      <c r="A46" t="s">
        <v>57</v>
      </c>
      <c r="B46">
        <v>0</v>
      </c>
      <c r="C46">
        <v>49</v>
      </c>
      <c r="D46">
        <v>74</v>
      </c>
      <c r="E46">
        <v>21</v>
      </c>
      <c r="O46">
        <f ca="1" t="shared" si="3"/>
        <v>40.3907980615305</v>
      </c>
      <c r="P46">
        <f ca="1" t="shared" si="3"/>
        <v>120.791721570644</v>
      </c>
      <c r="Q46">
        <f ca="1" t="shared" si="3"/>
        <v>224.4206429899</v>
      </c>
      <c r="R46">
        <f ca="1" t="shared" si="3"/>
        <v>31.2910841046526</v>
      </c>
      <c r="S46">
        <f ca="1" t="shared" si="3"/>
        <v>88.7926959673083</v>
      </c>
      <c r="T46">
        <f ca="1" t="shared" si="3"/>
        <v>172.379390650355</v>
      </c>
      <c r="U46" t="str">
        <f ca="1" t="shared" si="4"/>
        <v>C4</v>
      </c>
      <c r="V46">
        <v>46</v>
      </c>
      <c r="W46" t="str">
        <f ca="1" t="shared" si="5"/>
        <v>C4</v>
      </c>
      <c r="X46">
        <f ca="1" t="shared" si="6"/>
        <v>0</v>
      </c>
    </row>
    <row r="47" spans="1:24">
      <c r="A47" t="s">
        <v>58</v>
      </c>
      <c r="B47">
        <v>0.1</v>
      </c>
      <c r="C47">
        <v>44</v>
      </c>
      <c r="D47">
        <v>24</v>
      </c>
      <c r="E47">
        <v>8</v>
      </c>
      <c r="O47">
        <f ca="1" t="shared" si="3"/>
        <v>42.0392722843912</v>
      </c>
      <c r="P47">
        <f ca="1" t="shared" si="3"/>
        <v>129.987730190199</v>
      </c>
      <c r="Q47">
        <f ca="1" t="shared" si="3"/>
        <v>232.995246732632</v>
      </c>
      <c r="R47">
        <f ca="1" t="shared" si="3"/>
        <v>48.9512540981105</v>
      </c>
      <c r="S47">
        <f ca="1" t="shared" si="3"/>
        <v>106.901737257032</v>
      </c>
      <c r="T47">
        <f ca="1" t="shared" si="3"/>
        <v>182.491089246355</v>
      </c>
      <c r="U47" t="str">
        <f ca="1" t="shared" si="4"/>
        <v>C1</v>
      </c>
      <c r="V47">
        <v>47</v>
      </c>
      <c r="W47" t="str">
        <f ca="1" t="shared" si="5"/>
        <v>C1</v>
      </c>
      <c r="X47">
        <f ca="1" t="shared" si="6"/>
        <v>0</v>
      </c>
    </row>
    <row r="48" spans="1:24">
      <c r="A48" t="s">
        <v>59</v>
      </c>
      <c r="B48">
        <v>7</v>
      </c>
      <c r="C48">
        <v>100</v>
      </c>
      <c r="D48">
        <v>58</v>
      </c>
      <c r="E48">
        <v>16</v>
      </c>
      <c r="O48">
        <f ca="1" t="shared" si="3"/>
        <v>85.1721403460325</v>
      </c>
      <c r="P48">
        <f ca="1" t="shared" si="3"/>
        <v>68.618073420929</v>
      </c>
      <c r="Q48">
        <f ca="1" t="shared" si="3"/>
        <v>173.192450759264</v>
      </c>
      <c r="R48">
        <f ca="1" t="shared" si="3"/>
        <v>24.1515757479944</v>
      </c>
      <c r="S48">
        <f ca="1" t="shared" si="3"/>
        <v>40.8866027656283</v>
      </c>
      <c r="T48">
        <f ca="1" t="shared" si="3"/>
        <v>121.462792148638</v>
      </c>
      <c r="U48" t="str">
        <f ca="1" t="shared" si="4"/>
        <v>C4</v>
      </c>
      <c r="V48">
        <v>48</v>
      </c>
      <c r="W48" t="str">
        <f ca="1" t="shared" si="5"/>
        <v>C4</v>
      </c>
      <c r="X48">
        <f ca="1" t="shared" si="6"/>
        <v>0</v>
      </c>
    </row>
    <row r="49" spans="1:24">
      <c r="A49" t="s">
        <v>60</v>
      </c>
      <c r="B49">
        <v>1</v>
      </c>
      <c r="C49">
        <v>62</v>
      </c>
      <c r="D49">
        <v>73</v>
      </c>
      <c r="E49">
        <v>24</v>
      </c>
      <c r="O49">
        <f ca="1" t="shared" si="3"/>
        <v>52.0248575088541</v>
      </c>
      <c r="P49">
        <f ca="1" t="shared" si="3"/>
        <v>107.778662081137</v>
      </c>
      <c r="Q49">
        <f ca="1" t="shared" si="3"/>
        <v>211.299846190195</v>
      </c>
      <c r="R49">
        <f ca="1" t="shared" si="3"/>
        <v>20.8558211964376</v>
      </c>
      <c r="S49">
        <f ca="1" t="shared" si="3"/>
        <v>75.8485332752058</v>
      </c>
      <c r="T49">
        <f ca="1" t="shared" si="3"/>
        <v>159.211211529035</v>
      </c>
      <c r="U49" t="str">
        <f ca="1" t="shared" si="4"/>
        <v>C4</v>
      </c>
      <c r="V49">
        <v>49</v>
      </c>
      <c r="W49" t="str">
        <f ca="1" t="shared" si="5"/>
        <v>C4</v>
      </c>
      <c r="X49">
        <f ca="1" t="shared" si="6"/>
        <v>0</v>
      </c>
    </row>
    <row r="50" spans="1:24">
      <c r="A50" t="s">
        <v>61</v>
      </c>
      <c r="B50">
        <v>5</v>
      </c>
      <c r="C50">
        <v>65</v>
      </c>
      <c r="D50">
        <v>34</v>
      </c>
      <c r="E50">
        <v>9</v>
      </c>
      <c r="O50">
        <f ca="1" t="shared" si="3"/>
        <v>53.9391504629311</v>
      </c>
      <c r="P50">
        <f ca="1" t="shared" si="3"/>
        <v>106.952512826955</v>
      </c>
      <c r="Q50">
        <f ca="1" t="shared" si="3"/>
        <v>210.532954665059</v>
      </c>
      <c r="R50">
        <f ca="1" t="shared" si="3"/>
        <v>29.056816947338</v>
      </c>
      <c r="S50">
        <f ca="1" t="shared" si="3"/>
        <v>83.4916591214784</v>
      </c>
      <c r="T50">
        <f ca="1" t="shared" si="3"/>
        <v>159.746635815347</v>
      </c>
      <c r="U50" t="str">
        <f ca="1" t="shared" si="4"/>
        <v>C4</v>
      </c>
      <c r="V50">
        <v>50</v>
      </c>
      <c r="W50" t="str">
        <f ca="1" t="shared" si="5"/>
        <v>C4</v>
      </c>
      <c r="X50">
        <f ca="1" t="shared" si="6"/>
        <v>0</v>
      </c>
    </row>
    <row r="51" spans="1:24">
      <c r="A51" t="s">
        <v>62</v>
      </c>
      <c r="B51">
        <v>0</v>
      </c>
      <c r="C51">
        <v>0.1</v>
      </c>
      <c r="D51">
        <v>60</v>
      </c>
      <c r="E51">
        <v>11</v>
      </c>
      <c r="O51">
        <f ca="1" t="shared" si="3"/>
        <v>16.2416022907352</v>
      </c>
      <c r="P51">
        <f ca="1" t="shared" si="3"/>
        <v>168.857247401466</v>
      </c>
      <c r="Q51">
        <f ca="1" t="shared" si="3"/>
        <v>273.354321348685</v>
      </c>
      <c r="R51">
        <f ca="1" t="shared" si="3"/>
        <v>76.4379396053498</v>
      </c>
      <c r="S51">
        <f ca="1" t="shared" si="3"/>
        <v>138.569049316835</v>
      </c>
      <c r="T51">
        <f ca="1" t="shared" si="3"/>
        <v>221.482324072471</v>
      </c>
      <c r="U51" t="str">
        <f ca="1" t="shared" si="4"/>
        <v>C1</v>
      </c>
      <c r="V51">
        <v>51</v>
      </c>
      <c r="W51" t="str">
        <f ca="1" t="shared" si="5"/>
        <v>C1</v>
      </c>
      <c r="X51">
        <f ca="1" t="shared" si="6"/>
        <v>0</v>
      </c>
    </row>
    <row r="52" spans="1:24">
      <c r="A52" t="s">
        <v>63</v>
      </c>
      <c r="B52">
        <v>6</v>
      </c>
      <c r="C52">
        <v>143</v>
      </c>
      <c r="D52">
        <v>51</v>
      </c>
      <c r="E52">
        <v>11</v>
      </c>
      <c r="O52">
        <f ca="1" t="shared" si="3"/>
        <v>127.917586264515</v>
      </c>
      <c r="P52">
        <f ca="1" t="shared" si="3"/>
        <v>28.4119693087262</v>
      </c>
      <c r="Q52">
        <f ca="1" t="shared" si="3"/>
        <v>131.303560500087</v>
      </c>
      <c r="R52">
        <f ca="1" t="shared" si="3"/>
        <v>67.8021529484459</v>
      </c>
      <c r="S52">
        <f ca="1" t="shared" si="3"/>
        <v>25.3715250963415</v>
      </c>
      <c r="T52">
        <f ca="1" t="shared" si="3"/>
        <v>80.6879372017685</v>
      </c>
      <c r="U52" t="str">
        <f ca="1" t="shared" si="4"/>
        <v>C5</v>
      </c>
      <c r="V52">
        <v>52</v>
      </c>
      <c r="W52" t="str">
        <f ca="1" t="shared" si="5"/>
        <v>C2</v>
      </c>
      <c r="X52">
        <f ca="1" t="shared" si="6"/>
        <v>1</v>
      </c>
    </row>
  </sheetData>
  <mergeCells count="2">
    <mergeCell ref="G1:K1"/>
    <mergeCell ref="O1:R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workbookViewId="0">
      <selection activeCell="L33" sqref="L33"/>
    </sheetView>
  </sheetViews>
  <sheetFormatPr defaultColWidth="9" defaultRowHeight="15"/>
  <cols>
    <col min="23" max="23" width="10.5714285714286" customWidth="1"/>
  </cols>
  <sheetData>
    <row r="1" spans="6:22">
      <c r="F1">
        <f ca="1">_xlfn.SHEET(A1)-1</f>
        <v>7</v>
      </c>
      <c r="G1" s="7" t="s">
        <v>0</v>
      </c>
      <c r="H1" s="7"/>
      <c r="I1" s="7"/>
      <c r="J1" s="7"/>
      <c r="K1" s="7"/>
      <c r="L1" s="7"/>
      <c r="M1" s="7"/>
      <c r="O1" s="7" t="s">
        <v>1</v>
      </c>
      <c r="P1" s="7"/>
      <c r="Q1" s="7"/>
      <c r="R1" s="7"/>
      <c r="V1">
        <v>1</v>
      </c>
    </row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7</v>
      </c>
      <c r="V2">
        <v>2</v>
      </c>
      <c r="W2" t="s">
        <v>64</v>
      </c>
      <c r="X2" t="s">
        <v>65</v>
      </c>
    </row>
    <row r="3" spans="1:24">
      <c r="A3" t="s">
        <v>14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M3" si="0">IFERROR(AVERAGEIFS(INDIRECT($F$1&amp;"!"&amp;ADDRESS(3,$F3,1)):INDIRECT($F$1&amp;"!"&amp;ADDRESS(52,$F3,1)),INDIRECT($F$1&amp;"!$U$3"):INDIRECT($F$1&amp;"!$U$52"),H$2),0)</f>
        <v>2.16923076923077</v>
      </c>
      <c r="I3">
        <f ca="1" t="shared" si="0"/>
        <v>10</v>
      </c>
      <c r="J3">
        <f ca="1" t="shared" si="0"/>
        <v>11.75</v>
      </c>
      <c r="K3">
        <f ca="1" t="shared" si="0"/>
        <v>4.58333333333333</v>
      </c>
      <c r="L3">
        <f ca="1" t="shared" si="0"/>
        <v>7.75</v>
      </c>
      <c r="M3">
        <f ca="1" t="shared" si="0"/>
        <v>9.44444444444444</v>
      </c>
      <c r="O3">
        <f ca="1">SQRT(SUMXMY2($B3:$E3,H$3:H$6))</f>
        <v>178.395286110673</v>
      </c>
      <c r="P3">
        <f ca="1" t="shared" ref="P3:T18" si="1">SQRT(SUMXMY2($B3:$E3,I$3:I$6))</f>
        <v>20.5988470551145</v>
      </c>
      <c r="Q3">
        <f ca="1" t="shared" si="1"/>
        <v>80.7627698881112</v>
      </c>
      <c r="R3">
        <f ca="1" t="shared" si="1"/>
        <v>117.488149520612</v>
      </c>
      <c r="S3">
        <f ca="1" t="shared" si="1"/>
        <v>58.5904749084696</v>
      </c>
      <c r="T3">
        <f ca="1" t="shared" si="1"/>
        <v>31.4940715565624</v>
      </c>
      <c r="U3" t="str">
        <f ca="1">INDEX($O$2:$T$2,1,MATCH(MIN(O3:T3),O3:T3,0))</f>
        <v>C2</v>
      </c>
      <c r="V3">
        <v>3</v>
      </c>
      <c r="W3" t="str">
        <f ca="1">INDIRECT($F$1&amp;"!U"&amp;V3)</f>
        <v>C2</v>
      </c>
      <c r="X3">
        <f ca="1">IF(U3=W3,0,1)</f>
        <v>0</v>
      </c>
    </row>
    <row r="4" spans="1:24">
      <c r="A4" t="s">
        <v>15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M4" si="2">IFERROR(AVERAGEIFS(INDIRECT($F$1&amp;"!"&amp;ADDRESS(3,$F4,1)):INDIRECT($F$1&amp;"!"&amp;ADDRESS(52,$F4,1)),INDIRECT($F$1&amp;"!$U$3"):INDIRECT($F$1&amp;"!$U$52"),H$2),0)</f>
        <v>15.1846153846154</v>
      </c>
      <c r="I4">
        <f ca="1" t="shared" si="2"/>
        <v>174.75</v>
      </c>
      <c r="J4">
        <f ca="1" t="shared" si="2"/>
        <v>272.75</v>
      </c>
      <c r="K4">
        <f ca="1" t="shared" si="2"/>
        <v>76.0833333333333</v>
      </c>
      <c r="L4">
        <f ca="1" t="shared" si="2"/>
        <v>138.125</v>
      </c>
      <c r="M4">
        <f ca="1" t="shared" si="2"/>
        <v>220.666666666667</v>
      </c>
      <c r="O4">
        <f ca="1" t="shared" ref="O4:T52" si="3">SQRT(SUMXMY2($B4:$E4,H$3:H$6))</f>
        <v>209.790814381413</v>
      </c>
      <c r="P4">
        <f ca="1" t="shared" si="1"/>
        <v>54.925517749039</v>
      </c>
      <c r="Q4">
        <f ca="1" t="shared" si="1"/>
        <v>58.1001290876363</v>
      </c>
      <c r="R4">
        <f ca="1" t="shared" si="1"/>
        <v>149.347353322529</v>
      </c>
      <c r="S4">
        <f ca="1" t="shared" si="1"/>
        <v>92.6490353430623</v>
      </c>
      <c r="T4">
        <f ca="1" t="shared" si="1"/>
        <v>28.4290322829183</v>
      </c>
      <c r="U4" t="str">
        <f ca="1" t="shared" ref="U4:U52" si="4">INDEX($O$2:$T$2,1,MATCH(MIN(O4:T4),O4:T4,0))</f>
        <v>C6</v>
      </c>
      <c r="V4">
        <v>4</v>
      </c>
      <c r="W4" t="str">
        <f ca="1" t="shared" ref="W4:W52" si="5">INDIRECT($F$1&amp;"!U"&amp;V4)</f>
        <v>C6</v>
      </c>
      <c r="X4">
        <f ca="1" t="shared" ref="X4:X52" si="6">IF(U4=W4,0,1)</f>
        <v>0</v>
      </c>
    </row>
    <row r="5" spans="1:24">
      <c r="A5" t="s">
        <v>16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M5" si="7">IFERROR(AVERAGEIFS(INDIRECT($F$1&amp;"!"&amp;ADDRESS(3,$F5,1)):INDIRECT($F$1&amp;"!"&amp;ADDRESS(52,$F5,1)),INDIRECT($F$1&amp;"!$U$3"):INDIRECT($F$1&amp;"!$U$52"),H$2),0)</f>
        <v>54.3846153846154</v>
      </c>
      <c r="I5">
        <f ca="1" t="shared" si="7"/>
        <v>60</v>
      </c>
      <c r="J5">
        <f ca="1" t="shared" si="7"/>
        <v>62.5</v>
      </c>
      <c r="K5">
        <f ca="1" t="shared" si="7"/>
        <v>59.3333333333333</v>
      </c>
      <c r="L5">
        <f ca="1" t="shared" si="7"/>
        <v>71</v>
      </c>
      <c r="M5">
        <f ca="1" t="shared" si="7"/>
        <v>63.8888888888889</v>
      </c>
      <c r="O5">
        <f ca="1" t="shared" si="3"/>
        <v>212.429248924946</v>
      </c>
      <c r="P5">
        <f ca="1" t="shared" si="1"/>
        <v>53.1865819544742</v>
      </c>
      <c r="Q5">
        <f ca="1" t="shared" si="1"/>
        <v>48.1780551703781</v>
      </c>
      <c r="R5">
        <f ca="1" t="shared" si="1"/>
        <v>150.941926838694</v>
      </c>
      <c r="S5">
        <f ca="1" t="shared" si="1"/>
        <v>88.5682999159406</v>
      </c>
      <c r="T5">
        <f ca="1" t="shared" si="1"/>
        <v>10.4343923258557</v>
      </c>
      <c r="U5" t="str">
        <f ca="1" t="shared" si="4"/>
        <v>C6</v>
      </c>
      <c r="V5">
        <v>5</v>
      </c>
      <c r="W5" t="str">
        <f ca="1" t="shared" si="5"/>
        <v>C6</v>
      </c>
      <c r="X5">
        <f ca="1" t="shared" si="6"/>
        <v>0</v>
      </c>
    </row>
    <row r="6" spans="1:24">
      <c r="A6" t="s">
        <v>17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M6" si="8">IFERROR(AVERAGEIFS(INDIRECT($F$1&amp;"!"&amp;ADDRESS(3,$F6,1)):INDIRECT($F$1&amp;"!"&amp;ADDRESS(52,$F6,1)),INDIRECT($F$1&amp;"!$U$3"):INDIRECT($F$1&amp;"!$U$52"),H$2),0)</f>
        <v>11.0769230769231</v>
      </c>
      <c r="I6">
        <f ca="1" t="shared" si="8"/>
        <v>23.5</v>
      </c>
      <c r="J6">
        <f ca="1" t="shared" si="8"/>
        <v>26.5</v>
      </c>
      <c r="K6">
        <f ca="1" t="shared" si="8"/>
        <v>17.9166666666667</v>
      </c>
      <c r="L6">
        <f ca="1" t="shared" si="8"/>
        <v>19.125</v>
      </c>
      <c r="M6">
        <f ca="1" t="shared" si="8"/>
        <v>28.3333333333333</v>
      </c>
      <c r="O6">
        <f ca="1" t="shared" si="3"/>
        <v>162.088013931799</v>
      </c>
      <c r="P6">
        <f ca="1" t="shared" si="1"/>
        <v>12.3009146001425</v>
      </c>
      <c r="Q6">
        <f ca="1" t="shared" si="1"/>
        <v>97.1011070997648</v>
      </c>
      <c r="R6">
        <f ca="1" t="shared" si="1"/>
        <v>101.409065724476</v>
      </c>
      <c r="S6">
        <f ca="1" t="shared" si="1"/>
        <v>44.2362266700043</v>
      </c>
      <c r="T6">
        <f ca="1" t="shared" si="1"/>
        <v>47.2250979516529</v>
      </c>
      <c r="U6" t="str">
        <f ca="1" t="shared" si="4"/>
        <v>C2</v>
      </c>
      <c r="V6">
        <v>6</v>
      </c>
      <c r="W6" t="str">
        <f ca="1" t="shared" si="5"/>
        <v>C2</v>
      </c>
      <c r="X6">
        <f ca="1" t="shared" si="6"/>
        <v>0</v>
      </c>
    </row>
    <row r="7" spans="1:24">
      <c r="A7" t="s">
        <v>18</v>
      </c>
      <c r="B7">
        <v>7</v>
      </c>
      <c r="C7">
        <v>235</v>
      </c>
      <c r="D7">
        <v>86</v>
      </c>
      <c r="E7">
        <v>39</v>
      </c>
      <c r="O7">
        <f ca="1" t="shared" si="3"/>
        <v>223.87802575108</v>
      </c>
      <c r="P7">
        <f ca="1" t="shared" si="1"/>
        <v>67.4930551982943</v>
      </c>
      <c r="Q7">
        <f ca="1" t="shared" si="1"/>
        <v>46.4340930782545</v>
      </c>
      <c r="R7">
        <f ca="1" t="shared" si="1"/>
        <v>162.529890413357</v>
      </c>
      <c r="S7">
        <f ca="1" t="shared" si="1"/>
        <v>100.026715181495</v>
      </c>
      <c r="T7">
        <f ca="1" t="shared" si="1"/>
        <v>28.5324160461763</v>
      </c>
      <c r="U7" t="str">
        <f ca="1" t="shared" si="4"/>
        <v>C6</v>
      </c>
      <c r="V7">
        <v>7</v>
      </c>
      <c r="W7" t="str">
        <f ca="1" t="shared" si="5"/>
        <v>C6</v>
      </c>
      <c r="X7">
        <f ca="1" t="shared" si="6"/>
        <v>0</v>
      </c>
    </row>
    <row r="8" spans="1:24">
      <c r="A8" t="s">
        <v>19</v>
      </c>
      <c r="B8">
        <v>5</v>
      </c>
      <c r="C8">
        <v>170</v>
      </c>
      <c r="D8">
        <v>78</v>
      </c>
      <c r="E8">
        <v>37</v>
      </c>
      <c r="O8">
        <f ca="1" t="shared" si="3"/>
        <v>158.762429043334</v>
      </c>
      <c r="P8">
        <f ca="1" t="shared" si="1"/>
        <v>23.5332211989774</v>
      </c>
      <c r="Q8">
        <f ca="1" t="shared" si="1"/>
        <v>104.659567168988</v>
      </c>
      <c r="R8">
        <f ca="1" t="shared" si="1"/>
        <v>97.6377588049032</v>
      </c>
      <c r="S8">
        <f ca="1" t="shared" si="1"/>
        <v>37.3107725730787</v>
      </c>
      <c r="T8">
        <f ca="1" t="shared" si="1"/>
        <v>53.4892397163401</v>
      </c>
      <c r="U8" t="str">
        <f ca="1" t="shared" si="4"/>
        <v>C2</v>
      </c>
      <c r="V8">
        <v>8</v>
      </c>
      <c r="W8" t="str">
        <f ca="1" t="shared" si="5"/>
        <v>C2</v>
      </c>
      <c r="X8">
        <f ca="1" t="shared" si="6"/>
        <v>0</v>
      </c>
    </row>
    <row r="9" spans="1:24">
      <c r="A9" t="s">
        <v>20</v>
      </c>
      <c r="B9">
        <v>0</v>
      </c>
      <c r="C9">
        <v>35</v>
      </c>
      <c r="D9">
        <v>75</v>
      </c>
      <c r="E9">
        <v>7</v>
      </c>
      <c r="O9">
        <f ca="1" t="shared" si="3"/>
        <v>28.9649860038147</v>
      </c>
      <c r="P9">
        <f ca="1" t="shared" si="1"/>
        <v>141.870759848533</v>
      </c>
      <c r="Q9">
        <f ca="1" t="shared" si="1"/>
        <v>239.164430883859</v>
      </c>
      <c r="R9">
        <f ca="1" t="shared" si="1"/>
        <v>45.5353190147799</v>
      </c>
      <c r="S9">
        <f ca="1" t="shared" si="1"/>
        <v>104.200977682553</v>
      </c>
      <c r="T9">
        <f ca="1" t="shared" si="1"/>
        <v>187.456332363593</v>
      </c>
      <c r="U9" t="str">
        <f ca="1" t="shared" si="4"/>
        <v>C1</v>
      </c>
      <c r="V9">
        <v>9</v>
      </c>
      <c r="W9" t="str">
        <f ca="1" t="shared" si="5"/>
        <v>C1</v>
      </c>
      <c r="X9">
        <f ca="1" t="shared" si="6"/>
        <v>0</v>
      </c>
    </row>
    <row r="10" spans="1:24">
      <c r="A10" t="s">
        <v>21</v>
      </c>
      <c r="B10">
        <v>4</v>
      </c>
      <c r="C10">
        <v>198</v>
      </c>
      <c r="D10">
        <v>70</v>
      </c>
      <c r="E10">
        <v>15</v>
      </c>
      <c r="G10" t="s">
        <v>66</v>
      </c>
      <c r="I10" s="8">
        <f ca="1">SUM(X3:X52)</f>
        <v>1</v>
      </c>
      <c r="O10">
        <f ca="1" t="shared" si="3"/>
        <v>183.532142518083</v>
      </c>
      <c r="P10">
        <f ca="1" t="shared" si="1"/>
        <v>27.364438601952</v>
      </c>
      <c r="Q10">
        <f ca="1" t="shared" si="1"/>
        <v>76.3945351448649</v>
      </c>
      <c r="R10">
        <f ca="1" t="shared" si="1"/>
        <v>122.418538674137</v>
      </c>
      <c r="S10">
        <f ca="1" t="shared" si="1"/>
        <v>60.1422792218586</v>
      </c>
      <c r="T10">
        <f ca="1" t="shared" si="1"/>
        <v>27.5416631646773</v>
      </c>
      <c r="U10" t="str">
        <f ca="1" t="shared" si="4"/>
        <v>C2</v>
      </c>
      <c r="V10">
        <v>10</v>
      </c>
      <c r="W10" t="str">
        <f ca="1" t="shared" si="5"/>
        <v>C6</v>
      </c>
      <c r="X10">
        <f ca="1" t="shared" si="6"/>
        <v>1</v>
      </c>
    </row>
    <row r="11" spans="1:24">
      <c r="A11" t="s">
        <v>22</v>
      </c>
      <c r="B11">
        <v>13</v>
      </c>
      <c r="C11">
        <v>259</v>
      </c>
      <c r="D11">
        <v>74</v>
      </c>
      <c r="E11">
        <v>30</v>
      </c>
      <c r="O11">
        <f ca="1" t="shared" si="3"/>
        <v>245.572990149821</v>
      </c>
      <c r="P11">
        <f ca="1" t="shared" si="1"/>
        <v>85.7047985821097</v>
      </c>
      <c r="Q11">
        <f ca="1" t="shared" si="1"/>
        <v>18.3064196390228</v>
      </c>
      <c r="R11">
        <f ca="1" t="shared" si="1"/>
        <v>184.093631822988</v>
      </c>
      <c r="S11">
        <f ca="1" t="shared" si="1"/>
        <v>121.513759508954</v>
      </c>
      <c r="T11">
        <f ca="1" t="shared" si="1"/>
        <v>39.8384081689028</v>
      </c>
      <c r="U11" t="str">
        <f ca="1" t="shared" si="4"/>
        <v>C3</v>
      </c>
      <c r="V11">
        <v>11</v>
      </c>
      <c r="W11" t="str">
        <f ca="1" t="shared" si="5"/>
        <v>C3</v>
      </c>
      <c r="X11">
        <f ca="1" t="shared" si="6"/>
        <v>0</v>
      </c>
    </row>
    <row r="12" spans="1:24">
      <c r="A12" t="s">
        <v>23</v>
      </c>
      <c r="B12">
        <v>15</v>
      </c>
      <c r="C12">
        <v>136</v>
      </c>
      <c r="D12">
        <v>52</v>
      </c>
      <c r="E12">
        <v>24</v>
      </c>
      <c r="O12">
        <f ca="1" t="shared" si="3"/>
        <v>122.203429192919</v>
      </c>
      <c r="P12">
        <f ca="1" t="shared" si="1"/>
        <v>39.8849909113692</v>
      </c>
      <c r="Q12">
        <f ca="1" t="shared" si="1"/>
        <v>137.213793038455</v>
      </c>
      <c r="R12">
        <f ca="1" t="shared" si="1"/>
        <v>61.5572791074387</v>
      </c>
      <c r="S12">
        <f ca="1" t="shared" si="1"/>
        <v>21.0200796858623</v>
      </c>
      <c r="T12">
        <f ca="1" t="shared" si="1"/>
        <v>85.7871324778106</v>
      </c>
      <c r="U12" t="str">
        <f ca="1" t="shared" si="4"/>
        <v>C5</v>
      </c>
      <c r="V12">
        <v>12</v>
      </c>
      <c r="W12" t="str">
        <f ca="1" t="shared" si="5"/>
        <v>C5</v>
      </c>
      <c r="X12">
        <f ca="1" t="shared" si="6"/>
        <v>0</v>
      </c>
    </row>
    <row r="13" spans="1:24">
      <c r="A13" t="s">
        <v>24</v>
      </c>
      <c r="B13">
        <v>5</v>
      </c>
      <c r="C13">
        <v>32</v>
      </c>
      <c r="D13">
        <v>82</v>
      </c>
      <c r="E13">
        <v>17</v>
      </c>
      <c r="O13">
        <f ca="1" t="shared" si="3"/>
        <v>32.9918584183051</v>
      </c>
      <c r="P13">
        <f ca="1" t="shared" si="1"/>
        <v>144.667938742487</v>
      </c>
      <c r="Q13">
        <f ca="1" t="shared" si="1"/>
        <v>241.819405755618</v>
      </c>
      <c r="R13">
        <f ca="1" t="shared" si="1"/>
        <v>49.5795516765172</v>
      </c>
      <c r="S13">
        <f ca="1" t="shared" si="1"/>
        <v>106.750146369923</v>
      </c>
      <c r="T13">
        <f ca="1" t="shared" si="1"/>
        <v>189.924513919753</v>
      </c>
      <c r="U13" t="str">
        <f ca="1" t="shared" si="4"/>
        <v>C1</v>
      </c>
      <c r="V13">
        <v>13</v>
      </c>
      <c r="W13" t="str">
        <f ca="1" t="shared" si="5"/>
        <v>C1</v>
      </c>
      <c r="X13">
        <f ca="1" t="shared" si="6"/>
        <v>0</v>
      </c>
    </row>
    <row r="14" spans="1:24">
      <c r="A14" t="s">
        <v>25</v>
      </c>
      <c r="B14">
        <v>0</v>
      </c>
      <c r="C14">
        <v>54</v>
      </c>
      <c r="D14">
        <v>47</v>
      </c>
      <c r="E14">
        <v>12</v>
      </c>
      <c r="O14">
        <f ca="1" t="shared" si="3"/>
        <v>39.5818678229695</v>
      </c>
      <c r="P14">
        <f ca="1" t="shared" si="1"/>
        <v>122.400214460596</v>
      </c>
      <c r="Q14">
        <f ca="1" t="shared" si="1"/>
        <v>220.091174289202</v>
      </c>
      <c r="R14">
        <f ca="1" t="shared" si="1"/>
        <v>26.3779948273388</v>
      </c>
      <c r="S14">
        <f ca="1" t="shared" si="1"/>
        <v>88.1126764432905</v>
      </c>
      <c r="T14">
        <f ca="1" t="shared" si="1"/>
        <v>168.579321550186</v>
      </c>
      <c r="U14" t="str">
        <f ca="1" t="shared" si="4"/>
        <v>C4</v>
      </c>
      <c r="V14">
        <v>14</v>
      </c>
      <c r="W14" t="str">
        <f ca="1" t="shared" si="5"/>
        <v>C4</v>
      </c>
      <c r="X14">
        <f ca="1" t="shared" si="6"/>
        <v>0</v>
      </c>
    </row>
    <row r="15" spans="1:24">
      <c r="A15" t="s">
        <v>26</v>
      </c>
      <c r="B15">
        <v>10</v>
      </c>
      <c r="C15">
        <v>218</v>
      </c>
      <c r="D15">
        <v>79</v>
      </c>
      <c r="E15">
        <v>20</v>
      </c>
      <c r="O15">
        <f ca="1" t="shared" si="3"/>
        <v>204.648331644728</v>
      </c>
      <c r="P15">
        <f ca="1" t="shared" si="1"/>
        <v>47.3688980239144</v>
      </c>
      <c r="Q15">
        <f ca="1" t="shared" si="1"/>
        <v>57.5771221927599</v>
      </c>
      <c r="R15">
        <f ca="1" t="shared" si="1"/>
        <v>143.390371403073</v>
      </c>
      <c r="S15">
        <f ca="1" t="shared" si="1"/>
        <v>80.3109192451438</v>
      </c>
      <c r="T15">
        <f ca="1" t="shared" si="1"/>
        <v>17.4702569111965</v>
      </c>
      <c r="U15" t="str">
        <f ca="1" t="shared" si="4"/>
        <v>C6</v>
      </c>
      <c r="V15">
        <v>15</v>
      </c>
      <c r="W15" t="str">
        <f ca="1" t="shared" si="5"/>
        <v>C6</v>
      </c>
      <c r="X15">
        <f ca="1" t="shared" si="6"/>
        <v>0</v>
      </c>
    </row>
    <row r="16" spans="1:24">
      <c r="A16" t="s">
        <v>27</v>
      </c>
      <c r="B16">
        <v>7</v>
      </c>
      <c r="C16">
        <v>26</v>
      </c>
      <c r="D16">
        <v>65</v>
      </c>
      <c r="E16">
        <v>19</v>
      </c>
      <c r="O16">
        <f ca="1" t="shared" si="3"/>
        <v>17.7699300561703</v>
      </c>
      <c r="P16">
        <f ca="1" t="shared" si="1"/>
        <v>148.932241304561</v>
      </c>
      <c r="Q16">
        <f ca="1" t="shared" si="1"/>
        <v>246.92230559429</v>
      </c>
      <c r="R16">
        <f ca="1" t="shared" si="1"/>
        <v>50.4724209621232</v>
      </c>
      <c r="S16">
        <f ca="1" t="shared" si="1"/>
        <v>112.287994683314</v>
      </c>
      <c r="T16">
        <f ca="1" t="shared" si="1"/>
        <v>194.908778916614</v>
      </c>
      <c r="U16" t="str">
        <f ca="1" t="shared" si="4"/>
        <v>C1</v>
      </c>
      <c r="V16">
        <v>16</v>
      </c>
      <c r="W16" t="str">
        <f ca="1" t="shared" si="5"/>
        <v>C1</v>
      </c>
      <c r="X16">
        <f ca="1" t="shared" si="6"/>
        <v>0</v>
      </c>
    </row>
    <row r="17" spans="1:24">
      <c r="A17" t="s">
        <v>28</v>
      </c>
      <c r="B17">
        <v>2</v>
      </c>
      <c r="C17">
        <v>0.1</v>
      </c>
      <c r="D17">
        <v>53</v>
      </c>
      <c r="E17">
        <v>9</v>
      </c>
      <c r="O17">
        <f ca="1" t="shared" si="3"/>
        <v>15.2906844054084</v>
      </c>
      <c r="P17">
        <f ca="1" t="shared" si="1"/>
        <v>175.572983400066</v>
      </c>
      <c r="Q17">
        <f ca="1" t="shared" si="1"/>
        <v>273.549968013158</v>
      </c>
      <c r="R17">
        <f ca="1" t="shared" si="1"/>
        <v>76.8098861547855</v>
      </c>
      <c r="S17">
        <f ca="1" t="shared" si="1"/>
        <v>139.679915342185</v>
      </c>
      <c r="T17">
        <f ca="1" t="shared" si="1"/>
        <v>221.804914004499</v>
      </c>
      <c r="U17" t="str">
        <f ca="1" t="shared" si="4"/>
        <v>C1</v>
      </c>
      <c r="V17">
        <v>17</v>
      </c>
      <c r="W17" t="str">
        <f ca="1" t="shared" si="5"/>
        <v>C1</v>
      </c>
      <c r="X17">
        <f ca="1" t="shared" si="6"/>
        <v>0</v>
      </c>
    </row>
    <row r="18" spans="1:24">
      <c r="A18" t="s">
        <v>29</v>
      </c>
      <c r="B18">
        <v>3</v>
      </c>
      <c r="C18">
        <v>80</v>
      </c>
      <c r="D18">
        <v>56</v>
      </c>
      <c r="E18">
        <v>16</v>
      </c>
      <c r="O18">
        <f ca="1" t="shared" si="3"/>
        <v>65.0274589246818</v>
      </c>
      <c r="P18">
        <f ca="1" t="shared" si="1"/>
        <v>95.3876957474076</v>
      </c>
      <c r="Q18">
        <f ca="1" t="shared" si="1"/>
        <v>193.343282789964</v>
      </c>
      <c r="R18">
        <f ca="1" t="shared" si="1"/>
        <v>5.71243769720463</v>
      </c>
      <c r="S18">
        <f ca="1" t="shared" si="1"/>
        <v>60.2979580914644</v>
      </c>
      <c r="T18">
        <f ca="1" t="shared" si="1"/>
        <v>141.573258966236</v>
      </c>
      <c r="U18" t="str">
        <f ca="1" t="shared" si="4"/>
        <v>C4</v>
      </c>
      <c r="V18">
        <v>18</v>
      </c>
      <c r="W18" t="str">
        <f ca="1" t="shared" si="5"/>
        <v>C4</v>
      </c>
      <c r="X18">
        <f ca="1" t="shared" si="6"/>
        <v>0</v>
      </c>
    </row>
    <row r="19" spans="1:24">
      <c r="A19" t="s">
        <v>30</v>
      </c>
      <c r="B19">
        <v>7</v>
      </c>
      <c r="C19">
        <v>70</v>
      </c>
      <c r="D19">
        <v>43</v>
      </c>
      <c r="E19">
        <v>15</v>
      </c>
      <c r="O19">
        <f ca="1" t="shared" si="3"/>
        <v>56.3299451614635</v>
      </c>
      <c r="P19">
        <f ca="1" t="shared" si="3"/>
        <v>106.502640812329</v>
      </c>
      <c r="Q19">
        <f ca="1" t="shared" si="3"/>
        <v>204.065246918725</v>
      </c>
      <c r="R19">
        <f ca="1" t="shared" si="3"/>
        <v>17.8362536549704</v>
      </c>
      <c r="S19">
        <f ca="1" t="shared" si="3"/>
        <v>73.7739367934232</v>
      </c>
      <c r="T19">
        <f ca="1" t="shared" si="3"/>
        <v>152.710651920148</v>
      </c>
      <c r="U19" t="str">
        <f ca="1" t="shared" si="4"/>
        <v>C4</v>
      </c>
      <c r="V19">
        <v>19</v>
      </c>
      <c r="W19" t="str">
        <f ca="1" t="shared" si="5"/>
        <v>C4</v>
      </c>
      <c r="X19">
        <f ca="1" t="shared" si="6"/>
        <v>0</v>
      </c>
    </row>
    <row r="20" spans="1:24">
      <c r="A20" t="s">
        <v>31</v>
      </c>
      <c r="B20">
        <v>15</v>
      </c>
      <c r="C20">
        <v>159</v>
      </c>
      <c r="D20">
        <v>61</v>
      </c>
      <c r="E20">
        <v>19</v>
      </c>
      <c r="O20">
        <f ca="1" t="shared" si="3"/>
        <v>144.755075740586</v>
      </c>
      <c r="P20">
        <f ca="1" t="shared" si="3"/>
        <v>17.1555384642978</v>
      </c>
      <c r="Q20">
        <f ca="1" t="shared" si="3"/>
        <v>114.053167426424</v>
      </c>
      <c r="R20">
        <f ca="1" t="shared" si="3"/>
        <v>83.59205670663</v>
      </c>
      <c r="S20">
        <f ca="1" t="shared" si="3"/>
        <v>24.2557982758762</v>
      </c>
      <c r="T20">
        <f ca="1" t="shared" si="3"/>
        <v>62.6825236045271</v>
      </c>
      <c r="U20" t="str">
        <f ca="1" t="shared" si="4"/>
        <v>C2</v>
      </c>
      <c r="V20">
        <v>20</v>
      </c>
      <c r="W20" t="str">
        <f ca="1" t="shared" si="5"/>
        <v>C2</v>
      </c>
      <c r="X20">
        <f ca="1" t="shared" si="6"/>
        <v>0</v>
      </c>
    </row>
    <row r="21" spans="1:24">
      <c r="A21" t="s">
        <v>32</v>
      </c>
      <c r="B21">
        <v>1</v>
      </c>
      <c r="C21">
        <v>0.1</v>
      </c>
      <c r="D21">
        <v>45</v>
      </c>
      <c r="E21">
        <v>7</v>
      </c>
      <c r="O21">
        <f ca="1" t="shared" si="3"/>
        <v>18.264857776227</v>
      </c>
      <c r="P21">
        <f ca="1" t="shared" si="3"/>
        <v>176.297681493547</v>
      </c>
      <c r="Q21">
        <f ca="1" t="shared" si="3"/>
        <v>274.116918485525</v>
      </c>
      <c r="R21">
        <f ca="1" t="shared" si="3"/>
        <v>78.1724073940273</v>
      </c>
      <c r="S21">
        <f ca="1" t="shared" si="3"/>
        <v>141.136383509002</v>
      </c>
      <c r="T21">
        <f ca="1" t="shared" si="3"/>
        <v>222.559799427003</v>
      </c>
      <c r="U21" t="str">
        <f ca="1" t="shared" si="4"/>
        <v>C1</v>
      </c>
      <c r="V21">
        <v>21</v>
      </c>
      <c r="W21" t="str">
        <f ca="1" t="shared" si="5"/>
        <v>C1</v>
      </c>
      <c r="X21">
        <f ca="1" t="shared" si="6"/>
        <v>0</v>
      </c>
    </row>
    <row r="22" spans="1:24">
      <c r="A22" t="s">
        <v>33</v>
      </c>
      <c r="B22">
        <v>10</v>
      </c>
      <c r="C22">
        <v>260</v>
      </c>
      <c r="D22">
        <v>63</v>
      </c>
      <c r="E22">
        <v>28</v>
      </c>
      <c r="O22">
        <f ca="1" t="shared" si="3"/>
        <v>245.675617177895</v>
      </c>
      <c r="P22">
        <f ca="1" t="shared" si="3"/>
        <v>85.4213819836696</v>
      </c>
      <c r="Q22">
        <f ca="1" t="shared" si="3"/>
        <v>12.9663024798899</v>
      </c>
      <c r="R22">
        <f ca="1" t="shared" si="3"/>
        <v>184.308975937449</v>
      </c>
      <c r="S22">
        <f ca="1" t="shared" si="3"/>
        <v>122.479972852708</v>
      </c>
      <c r="T22">
        <f ca="1" t="shared" si="3"/>
        <v>39.3487101142378</v>
      </c>
      <c r="U22" t="str">
        <f ca="1" t="shared" si="4"/>
        <v>C3</v>
      </c>
      <c r="V22">
        <v>22</v>
      </c>
      <c r="W22" t="str">
        <f ca="1" t="shared" si="5"/>
        <v>C3</v>
      </c>
      <c r="X22">
        <f ca="1" t="shared" si="6"/>
        <v>0</v>
      </c>
    </row>
    <row r="23" spans="1:24">
      <c r="A23" t="s">
        <v>34</v>
      </c>
      <c r="B23">
        <v>2</v>
      </c>
      <c r="C23">
        <v>138</v>
      </c>
      <c r="D23">
        <v>82</v>
      </c>
      <c r="E23">
        <v>13</v>
      </c>
      <c r="O23">
        <f ca="1" t="shared" si="3"/>
        <v>125.896604519684</v>
      </c>
      <c r="P23">
        <f ca="1" t="shared" si="3"/>
        <v>44.8197780003427</v>
      </c>
      <c r="Q23">
        <f ca="1" t="shared" si="3"/>
        <v>137.168236119008</v>
      </c>
      <c r="R23">
        <f ca="1" t="shared" si="3"/>
        <v>66.1687132345122</v>
      </c>
      <c r="S23">
        <f ca="1" t="shared" si="3"/>
        <v>13.8417394138165</v>
      </c>
      <c r="T23">
        <f ca="1" t="shared" si="3"/>
        <v>86.3268265816271</v>
      </c>
      <c r="U23" t="str">
        <f ca="1" t="shared" si="4"/>
        <v>C5</v>
      </c>
      <c r="V23">
        <v>23</v>
      </c>
      <c r="W23" t="str">
        <f ca="1" t="shared" si="5"/>
        <v>C5</v>
      </c>
      <c r="X23">
        <f ca="1" t="shared" si="6"/>
        <v>0</v>
      </c>
    </row>
    <row r="24" spans="1:24">
      <c r="A24" t="s">
        <v>35</v>
      </c>
      <c r="B24">
        <v>11</v>
      </c>
      <c r="C24">
        <v>251</v>
      </c>
      <c r="D24">
        <v>68</v>
      </c>
      <c r="E24">
        <v>35</v>
      </c>
      <c r="O24">
        <f ca="1" t="shared" si="3"/>
        <v>237.580660859004</v>
      </c>
      <c r="P24">
        <f ca="1" t="shared" si="3"/>
        <v>77.5326544108997</v>
      </c>
      <c r="Q24">
        <f ca="1" t="shared" si="3"/>
        <v>24.0026040253969</v>
      </c>
      <c r="R24">
        <f ca="1" t="shared" si="3"/>
        <v>176.07942888872</v>
      </c>
      <c r="S24">
        <f ca="1" t="shared" si="3"/>
        <v>114.071660591051</v>
      </c>
      <c r="T24">
        <f ca="1" t="shared" si="3"/>
        <v>31.366806391628</v>
      </c>
      <c r="U24" t="str">
        <f ca="1" t="shared" si="4"/>
        <v>C3</v>
      </c>
      <c r="V24">
        <v>24</v>
      </c>
      <c r="W24" t="str">
        <f ca="1" t="shared" si="5"/>
        <v>C3</v>
      </c>
      <c r="X24">
        <f ca="1" t="shared" si="6"/>
        <v>0</v>
      </c>
    </row>
    <row r="25" spans="1:24">
      <c r="A25" t="s">
        <v>36</v>
      </c>
      <c r="B25">
        <v>1</v>
      </c>
      <c r="C25">
        <v>3</v>
      </c>
      <c r="D25">
        <v>62</v>
      </c>
      <c r="E25">
        <v>14</v>
      </c>
      <c r="O25">
        <f ca="1" t="shared" si="3"/>
        <v>14.7095348057368</v>
      </c>
      <c r="P25">
        <f ca="1" t="shared" si="3"/>
        <v>172.259433703934</v>
      </c>
      <c r="Q25">
        <f ca="1" t="shared" si="3"/>
        <v>270.253815884254</v>
      </c>
      <c r="R25">
        <f ca="1" t="shared" si="3"/>
        <v>73.3243839236156</v>
      </c>
      <c r="S25">
        <f ca="1" t="shared" si="3"/>
        <v>135.689328062306</v>
      </c>
      <c r="T25">
        <f ca="1" t="shared" si="3"/>
        <v>218.309639653021</v>
      </c>
      <c r="U25" t="str">
        <f ca="1" t="shared" si="4"/>
        <v>C1</v>
      </c>
      <c r="V25">
        <v>25</v>
      </c>
      <c r="W25" t="str">
        <f ca="1" t="shared" si="5"/>
        <v>C1</v>
      </c>
      <c r="X25">
        <f ca="1" t="shared" si="6"/>
        <v>0</v>
      </c>
    </row>
    <row r="26" spans="1:24">
      <c r="A26" t="s">
        <v>37</v>
      </c>
      <c r="B26">
        <v>13</v>
      </c>
      <c r="C26">
        <v>209</v>
      </c>
      <c r="D26">
        <v>44</v>
      </c>
      <c r="E26">
        <v>13</v>
      </c>
      <c r="O26">
        <f ca="1" t="shared" si="3"/>
        <v>194.404854201941</v>
      </c>
      <c r="P26">
        <f ca="1" t="shared" si="3"/>
        <v>39.3486022623422</v>
      </c>
      <c r="Q26">
        <f ca="1" t="shared" si="3"/>
        <v>67.7504612530424</v>
      </c>
      <c r="R26">
        <f ca="1" t="shared" si="3"/>
        <v>134.152768431284</v>
      </c>
      <c r="S26">
        <f ca="1" t="shared" si="3"/>
        <v>76.2715133585272</v>
      </c>
      <c r="T26">
        <f ca="1" t="shared" si="3"/>
        <v>27.9183111732324</v>
      </c>
      <c r="U26" t="str">
        <f ca="1" t="shared" si="4"/>
        <v>C6</v>
      </c>
      <c r="V26">
        <v>26</v>
      </c>
      <c r="W26" t="str">
        <f ca="1" t="shared" si="5"/>
        <v>C6</v>
      </c>
      <c r="X26">
        <f ca="1" t="shared" si="6"/>
        <v>0</v>
      </c>
    </row>
    <row r="27" spans="1:24">
      <c r="A27" t="s">
        <v>38</v>
      </c>
      <c r="B27">
        <v>8</v>
      </c>
      <c r="C27">
        <v>80</v>
      </c>
      <c r="D27">
        <v>61</v>
      </c>
      <c r="E27">
        <v>28</v>
      </c>
      <c r="O27">
        <f ca="1" t="shared" si="3"/>
        <v>67.5661586803377</v>
      </c>
      <c r="P27">
        <f ca="1" t="shared" si="3"/>
        <v>94.8831518237037</v>
      </c>
      <c r="Q27">
        <f ca="1" t="shared" si="3"/>
        <v>192.798145737971</v>
      </c>
      <c r="R27">
        <f ca="1" t="shared" si="3"/>
        <v>11.4658308803932</v>
      </c>
      <c r="S27">
        <f ca="1" t="shared" si="3"/>
        <v>59.6434719814331</v>
      </c>
      <c r="T27">
        <f ca="1" t="shared" si="3"/>
        <v>140.704137540399</v>
      </c>
      <c r="U27" t="str">
        <f ca="1" t="shared" si="4"/>
        <v>C4</v>
      </c>
      <c r="V27">
        <v>27</v>
      </c>
      <c r="W27" t="str">
        <f ca="1" t="shared" si="5"/>
        <v>C4</v>
      </c>
      <c r="X27">
        <f ca="1" t="shared" si="6"/>
        <v>0</v>
      </c>
    </row>
    <row r="28" spans="1:24">
      <c r="A28" t="s">
        <v>39</v>
      </c>
      <c r="B28">
        <v>5</v>
      </c>
      <c r="C28">
        <v>19</v>
      </c>
      <c r="D28">
        <v>45</v>
      </c>
      <c r="E28">
        <v>15</v>
      </c>
      <c r="O28">
        <f ca="1" t="shared" si="3"/>
        <v>11.2263953548199</v>
      </c>
      <c r="P28">
        <f ca="1" t="shared" si="3"/>
        <v>156.781097393787</v>
      </c>
      <c r="Q28">
        <f ca="1" t="shared" si="3"/>
        <v>254.702031794016</v>
      </c>
      <c r="R28">
        <f ca="1" t="shared" si="3"/>
        <v>58.9290416046659</v>
      </c>
      <c r="S28">
        <f ca="1" t="shared" si="3"/>
        <v>122.030093624483</v>
      </c>
      <c r="T28">
        <f ca="1" t="shared" si="3"/>
        <v>203.036364802217</v>
      </c>
      <c r="U28" t="str">
        <f ca="1" t="shared" si="4"/>
        <v>C1</v>
      </c>
      <c r="V28">
        <v>28</v>
      </c>
      <c r="W28" t="str">
        <f ca="1" t="shared" si="5"/>
        <v>C1</v>
      </c>
      <c r="X28">
        <f ca="1" t="shared" si="6"/>
        <v>0</v>
      </c>
    </row>
    <row r="29" spans="1:24">
      <c r="A29" t="s">
        <v>40</v>
      </c>
      <c r="B29">
        <v>4</v>
      </c>
      <c r="C29">
        <v>10</v>
      </c>
      <c r="D29">
        <v>56</v>
      </c>
      <c r="E29">
        <v>13</v>
      </c>
      <c r="O29">
        <f ca="1" t="shared" si="3"/>
        <v>6.0448031374408</v>
      </c>
      <c r="P29">
        <f ca="1" t="shared" si="3"/>
        <v>165.241679064333</v>
      </c>
      <c r="Q29">
        <f ca="1" t="shared" si="3"/>
        <v>263.290951230763</v>
      </c>
      <c r="R29">
        <f ca="1" t="shared" si="3"/>
        <v>66.3523318689286</v>
      </c>
      <c r="S29">
        <f ca="1" t="shared" si="3"/>
        <v>129.199821013808</v>
      </c>
      <c r="T29">
        <f ca="1" t="shared" si="3"/>
        <v>211.441320698593</v>
      </c>
      <c r="U29" t="str">
        <f ca="1" t="shared" si="4"/>
        <v>C1</v>
      </c>
      <c r="V29">
        <v>29</v>
      </c>
      <c r="W29" t="str">
        <f ca="1" t="shared" si="5"/>
        <v>C1</v>
      </c>
      <c r="X29">
        <f ca="1" t="shared" si="6"/>
        <v>0</v>
      </c>
    </row>
    <row r="30" spans="1:24">
      <c r="A30" t="s">
        <v>41</v>
      </c>
      <c r="B30">
        <v>11</v>
      </c>
      <c r="C30">
        <v>239</v>
      </c>
      <c r="D30">
        <v>75</v>
      </c>
      <c r="E30">
        <v>43</v>
      </c>
      <c r="O30">
        <f ca="1" t="shared" si="3"/>
        <v>227.190197409168</v>
      </c>
      <c r="P30">
        <f ca="1" t="shared" si="3"/>
        <v>68.8063405508533</v>
      </c>
      <c r="Q30">
        <f ca="1" t="shared" si="3"/>
        <v>39.5995580783422</v>
      </c>
      <c r="R30">
        <f ca="1" t="shared" si="3"/>
        <v>165.703445783256</v>
      </c>
      <c r="S30">
        <f ca="1" t="shared" si="3"/>
        <v>103.789901965461</v>
      </c>
      <c r="T30">
        <f ca="1" t="shared" si="3"/>
        <v>26.0211215252552</v>
      </c>
      <c r="U30" t="str">
        <f ca="1" t="shared" si="4"/>
        <v>C6</v>
      </c>
      <c r="V30">
        <v>30</v>
      </c>
      <c r="W30" t="str">
        <f ca="1" t="shared" si="5"/>
        <v>C6</v>
      </c>
      <c r="X30">
        <f ca="1" t="shared" si="6"/>
        <v>0</v>
      </c>
    </row>
    <row r="31" spans="1:24">
      <c r="A31" t="s">
        <v>42</v>
      </c>
      <c r="B31">
        <v>0</v>
      </c>
      <c r="C31">
        <v>0.1</v>
      </c>
      <c r="D31">
        <v>53</v>
      </c>
      <c r="E31">
        <v>6</v>
      </c>
      <c r="O31">
        <f ca="1" t="shared" si="3"/>
        <v>16.1227631355255</v>
      </c>
      <c r="P31">
        <f ca="1" t="shared" si="3"/>
        <v>175.948493883864</v>
      </c>
      <c r="Q31">
        <f ca="1" t="shared" si="3"/>
        <v>273.83678533024</v>
      </c>
      <c r="R31">
        <f ca="1" t="shared" si="3"/>
        <v>77.3084209154762</v>
      </c>
      <c r="S31">
        <f ca="1" t="shared" si="3"/>
        <v>140.025814584312</v>
      </c>
      <c r="T31">
        <f ca="1" t="shared" si="3"/>
        <v>222.162547821006</v>
      </c>
      <c r="U31" t="str">
        <f ca="1" t="shared" si="4"/>
        <v>C1</v>
      </c>
      <c r="V31">
        <v>31</v>
      </c>
      <c r="W31" t="str">
        <f ca="1" t="shared" si="5"/>
        <v>C1</v>
      </c>
      <c r="X31">
        <f ca="1" t="shared" si="6"/>
        <v>0</v>
      </c>
    </row>
    <row r="32" spans="1:24">
      <c r="A32" t="s">
        <v>43</v>
      </c>
      <c r="B32">
        <v>5</v>
      </c>
      <c r="C32">
        <v>155</v>
      </c>
      <c r="D32">
        <v>87</v>
      </c>
      <c r="E32">
        <v>19</v>
      </c>
      <c r="O32">
        <f ca="1" t="shared" si="3"/>
        <v>143.81548418416</v>
      </c>
      <c r="P32">
        <f ca="1" t="shared" si="3"/>
        <v>34.1220236797292</v>
      </c>
      <c r="Q32">
        <f ca="1" t="shared" si="3"/>
        <v>120.694345352216</v>
      </c>
      <c r="R32">
        <f ca="1" t="shared" si="3"/>
        <v>83.6339162328564</v>
      </c>
      <c r="S32">
        <f ca="1" t="shared" si="3"/>
        <v>23.4167408065256</v>
      </c>
      <c r="T32">
        <f ca="1" t="shared" si="3"/>
        <v>70.3782549189172</v>
      </c>
      <c r="U32" t="str">
        <f ca="1" t="shared" si="4"/>
        <v>C5</v>
      </c>
      <c r="V32">
        <v>32</v>
      </c>
      <c r="W32" t="str">
        <f ca="1" t="shared" si="5"/>
        <v>C5</v>
      </c>
      <c r="X32">
        <f ca="1" t="shared" si="6"/>
        <v>0</v>
      </c>
    </row>
    <row r="33" spans="1:24">
      <c r="A33" t="s">
        <v>44</v>
      </c>
      <c r="B33">
        <v>12</v>
      </c>
      <c r="C33">
        <v>229</v>
      </c>
      <c r="D33">
        <v>64</v>
      </c>
      <c r="E33">
        <v>32</v>
      </c>
      <c r="O33">
        <f ca="1" t="shared" si="3"/>
        <v>215.276318927847</v>
      </c>
      <c r="P33">
        <f ca="1" t="shared" si="3"/>
        <v>55.0936702353365</v>
      </c>
      <c r="Q33">
        <f ca="1" t="shared" si="3"/>
        <v>44.1205734323569</v>
      </c>
      <c r="R33">
        <f ca="1" t="shared" si="3"/>
        <v>153.8136273041</v>
      </c>
      <c r="S33">
        <f ca="1" t="shared" si="3"/>
        <v>92.1471309916918</v>
      </c>
      <c r="T33">
        <f ca="1" t="shared" si="3"/>
        <v>9.45685459153477</v>
      </c>
      <c r="U33" t="str">
        <f ca="1" t="shared" si="4"/>
        <v>C6</v>
      </c>
      <c r="V33">
        <v>33</v>
      </c>
      <c r="W33" t="str">
        <f ca="1" t="shared" si="5"/>
        <v>C6</v>
      </c>
      <c r="X33">
        <f ca="1" t="shared" si="6"/>
        <v>0</v>
      </c>
    </row>
    <row r="34" spans="1:24">
      <c r="A34" t="s">
        <v>45</v>
      </c>
      <c r="B34">
        <v>9</v>
      </c>
      <c r="C34">
        <v>161</v>
      </c>
      <c r="D34">
        <v>85</v>
      </c>
      <c r="E34">
        <v>23</v>
      </c>
      <c r="O34">
        <f ca="1" t="shared" si="3"/>
        <v>149.627027429132</v>
      </c>
      <c r="P34">
        <f ca="1" t="shared" si="3"/>
        <v>28.5536775214682</v>
      </c>
      <c r="Q34">
        <f ca="1" t="shared" si="3"/>
        <v>114.07946791601</v>
      </c>
      <c r="R34">
        <f ca="1" t="shared" si="3"/>
        <v>88.9660906063528</v>
      </c>
      <c r="S34">
        <f ca="1" t="shared" si="3"/>
        <v>27.12644005394</v>
      </c>
      <c r="T34">
        <f ca="1" t="shared" si="3"/>
        <v>63.5171795561282</v>
      </c>
      <c r="U34" t="str">
        <f ca="1" t="shared" si="4"/>
        <v>C5</v>
      </c>
      <c r="V34">
        <v>34</v>
      </c>
      <c r="W34" t="str">
        <f ca="1" t="shared" si="5"/>
        <v>C5</v>
      </c>
      <c r="X34">
        <f ca="1" t="shared" si="6"/>
        <v>0</v>
      </c>
    </row>
    <row r="35" spans="1:24">
      <c r="A35" t="s">
        <v>46</v>
      </c>
      <c r="B35">
        <v>13</v>
      </c>
      <c r="C35">
        <v>321</v>
      </c>
      <c r="D35">
        <v>45</v>
      </c>
      <c r="E35">
        <v>13</v>
      </c>
      <c r="O35">
        <f ca="1" t="shared" si="3"/>
        <v>306.157025495668</v>
      </c>
      <c r="P35">
        <f ca="1" t="shared" si="3"/>
        <v>147.422225257931</v>
      </c>
      <c r="Q35">
        <f ca="1" t="shared" si="3"/>
        <v>53.0860151075592</v>
      </c>
      <c r="R35">
        <f ca="1" t="shared" si="3"/>
        <v>245.52928938203</v>
      </c>
      <c r="S35">
        <f ca="1" t="shared" si="3"/>
        <v>184.890085591413</v>
      </c>
      <c r="T35">
        <f ca="1" t="shared" si="3"/>
        <v>103.302086076005</v>
      </c>
      <c r="U35" t="str">
        <f ca="1" t="shared" si="4"/>
        <v>C3</v>
      </c>
      <c r="V35">
        <v>35</v>
      </c>
      <c r="W35" t="str">
        <f ca="1" t="shared" si="5"/>
        <v>C3</v>
      </c>
      <c r="X35">
        <f ca="1" t="shared" si="6"/>
        <v>0</v>
      </c>
    </row>
    <row r="36" spans="1:24">
      <c r="A36" t="s">
        <v>47</v>
      </c>
      <c r="B36">
        <v>0.1</v>
      </c>
      <c r="C36">
        <v>27</v>
      </c>
      <c r="D36">
        <v>44</v>
      </c>
      <c r="E36">
        <v>6</v>
      </c>
      <c r="O36">
        <f ca="1" t="shared" si="3"/>
        <v>16.6583436812062</v>
      </c>
      <c r="P36">
        <f ca="1" t="shared" si="3"/>
        <v>149.967738197254</v>
      </c>
      <c r="Q36">
        <f ca="1" t="shared" si="3"/>
        <v>247.570767660481</v>
      </c>
      <c r="R36">
        <f ca="1" t="shared" si="3"/>
        <v>52.9753899886017</v>
      </c>
      <c r="S36">
        <f ca="1" t="shared" si="3"/>
        <v>115.362705195397</v>
      </c>
      <c r="T36">
        <f ca="1" t="shared" si="3"/>
        <v>196.184714233208</v>
      </c>
      <c r="U36" t="str">
        <f ca="1" t="shared" si="4"/>
        <v>C1</v>
      </c>
      <c r="V36">
        <v>36</v>
      </c>
      <c r="W36" t="str">
        <f ca="1" t="shared" si="5"/>
        <v>C1</v>
      </c>
      <c r="X36">
        <f ca="1" t="shared" si="6"/>
        <v>0</v>
      </c>
    </row>
    <row r="37" spans="1:24">
      <c r="A37" t="s">
        <v>48</v>
      </c>
      <c r="B37">
        <v>8</v>
      </c>
      <c r="C37">
        <v>119</v>
      </c>
      <c r="D37">
        <v>73</v>
      </c>
      <c r="E37">
        <v>18</v>
      </c>
      <c r="O37">
        <f ca="1" t="shared" si="3"/>
        <v>105.858837567415</v>
      </c>
      <c r="P37">
        <f ca="1" t="shared" si="3"/>
        <v>57.5440049005976</v>
      </c>
      <c r="Q37">
        <f ca="1" t="shared" si="3"/>
        <v>154.387904318959</v>
      </c>
      <c r="R37">
        <f ca="1" t="shared" si="3"/>
        <v>45.1696647221463</v>
      </c>
      <c r="S37">
        <f ca="1" t="shared" si="3"/>
        <v>19.2637937592781</v>
      </c>
      <c r="T37">
        <f ca="1" t="shared" si="3"/>
        <v>102.605982546443</v>
      </c>
      <c r="U37" t="str">
        <f ca="1" t="shared" si="4"/>
        <v>C5</v>
      </c>
      <c r="V37">
        <v>37</v>
      </c>
      <c r="W37" t="str">
        <f ca="1" t="shared" si="5"/>
        <v>C5</v>
      </c>
      <c r="X37">
        <f ca="1" t="shared" si="6"/>
        <v>0</v>
      </c>
    </row>
    <row r="38" spans="1:24">
      <c r="A38" t="s">
        <v>49</v>
      </c>
      <c r="B38">
        <v>4</v>
      </c>
      <c r="C38">
        <v>116</v>
      </c>
      <c r="D38">
        <v>59</v>
      </c>
      <c r="E38">
        <v>20</v>
      </c>
      <c r="O38">
        <f ca="1" t="shared" si="3"/>
        <v>101.331222079117</v>
      </c>
      <c r="P38">
        <f ca="1" t="shared" si="3"/>
        <v>59.1676643108379</v>
      </c>
      <c r="Q38">
        <f ca="1" t="shared" si="3"/>
        <v>157.115005648729</v>
      </c>
      <c r="R38">
        <f ca="1" t="shared" si="3"/>
        <v>39.9766424858872</v>
      </c>
      <c r="S38">
        <f ca="1" t="shared" si="3"/>
        <v>25.4625951151881</v>
      </c>
      <c r="T38">
        <f ca="1" t="shared" si="3"/>
        <v>105.252547548419</v>
      </c>
      <c r="U38" t="str">
        <f ca="1" t="shared" si="4"/>
        <v>C5</v>
      </c>
      <c r="V38">
        <v>38</v>
      </c>
      <c r="W38" t="str">
        <f ca="1" t="shared" si="5"/>
        <v>C5</v>
      </c>
      <c r="X38">
        <f ca="1" t="shared" si="6"/>
        <v>0</v>
      </c>
    </row>
    <row r="39" spans="1:24">
      <c r="A39" t="s">
        <v>50</v>
      </c>
      <c r="B39">
        <v>4</v>
      </c>
      <c r="C39">
        <v>103</v>
      </c>
      <c r="D39">
        <v>58</v>
      </c>
      <c r="E39">
        <v>29</v>
      </c>
      <c r="O39">
        <f ca="1" t="shared" si="3"/>
        <v>89.7173404834982</v>
      </c>
      <c r="P39">
        <f ca="1" t="shared" si="3"/>
        <v>72.237888258171</v>
      </c>
      <c r="Q39">
        <f ca="1" t="shared" si="3"/>
        <v>170.004779344582</v>
      </c>
      <c r="R39">
        <f ca="1" t="shared" si="3"/>
        <v>29.1455876210753</v>
      </c>
      <c r="S39">
        <f ca="1" t="shared" si="3"/>
        <v>38.9145698935502</v>
      </c>
      <c r="T39">
        <f ca="1" t="shared" si="3"/>
        <v>117.941552798593</v>
      </c>
      <c r="U39" t="str">
        <f ca="1" t="shared" si="4"/>
        <v>C4</v>
      </c>
      <c r="V39">
        <v>39</v>
      </c>
      <c r="W39" t="str">
        <f ca="1" t="shared" si="5"/>
        <v>C4</v>
      </c>
      <c r="X39">
        <f ca="1" t="shared" si="6"/>
        <v>0</v>
      </c>
    </row>
    <row r="40" spans="1:24">
      <c r="A40" t="s">
        <v>51</v>
      </c>
      <c r="B40">
        <v>4</v>
      </c>
      <c r="C40">
        <v>57</v>
      </c>
      <c r="D40">
        <v>67</v>
      </c>
      <c r="E40">
        <v>13</v>
      </c>
      <c r="O40">
        <f ca="1" t="shared" si="3"/>
        <v>43.7575623219008</v>
      </c>
      <c r="P40">
        <f ca="1" t="shared" si="3"/>
        <v>118.57618858776</v>
      </c>
      <c r="Q40">
        <f ca="1" t="shared" si="3"/>
        <v>216.357632174139</v>
      </c>
      <c r="R40">
        <f ca="1" t="shared" si="3"/>
        <v>21.1533750918802</v>
      </c>
      <c r="S40">
        <f ca="1" t="shared" si="3"/>
        <v>81.5404424196975</v>
      </c>
      <c r="T40">
        <f ca="1" t="shared" si="3"/>
        <v>164.50291753201</v>
      </c>
      <c r="U40" t="str">
        <f ca="1" t="shared" si="4"/>
        <v>C4</v>
      </c>
      <c r="V40">
        <v>40</v>
      </c>
      <c r="W40" t="str">
        <f ca="1" t="shared" si="5"/>
        <v>C4</v>
      </c>
      <c r="X40">
        <f ca="1" t="shared" si="6"/>
        <v>0</v>
      </c>
    </row>
    <row r="41" spans="1:24">
      <c r="A41" t="s">
        <v>52</v>
      </c>
      <c r="B41">
        <v>2</v>
      </c>
      <c r="C41">
        <v>97</v>
      </c>
      <c r="D41">
        <v>83</v>
      </c>
      <c r="E41">
        <v>5</v>
      </c>
      <c r="O41">
        <f ca="1" t="shared" si="3"/>
        <v>86.8881754301804</v>
      </c>
      <c r="P41">
        <f ca="1" t="shared" si="3"/>
        <v>83.5482644942431</v>
      </c>
      <c r="Q41">
        <f ca="1" t="shared" si="3"/>
        <v>178.509453531179</v>
      </c>
      <c r="R41">
        <f ca="1" t="shared" si="3"/>
        <v>34.2218051020756</v>
      </c>
      <c r="S41">
        <f ca="1" t="shared" si="3"/>
        <v>45.4735500043707</v>
      </c>
      <c r="T41">
        <f ca="1" t="shared" si="3"/>
        <v>127.508992662779</v>
      </c>
      <c r="U41" t="str">
        <f ca="1" t="shared" si="4"/>
        <v>C4</v>
      </c>
      <c r="V41">
        <v>41</v>
      </c>
      <c r="W41" t="str">
        <f ca="1" t="shared" si="5"/>
        <v>C4</v>
      </c>
      <c r="X41">
        <f ca="1" t="shared" si="6"/>
        <v>0</v>
      </c>
    </row>
    <row r="42" spans="1:24">
      <c r="A42" t="s">
        <v>53</v>
      </c>
      <c r="B42">
        <v>13</v>
      </c>
      <c r="C42">
        <v>210</v>
      </c>
      <c r="D42">
        <v>46</v>
      </c>
      <c r="E42">
        <v>21</v>
      </c>
      <c r="O42">
        <f ca="1" t="shared" si="3"/>
        <v>195.548226470453</v>
      </c>
      <c r="P42">
        <f ca="1" t="shared" si="3"/>
        <v>38.1288932438381</v>
      </c>
      <c r="Q42">
        <f ca="1" t="shared" si="3"/>
        <v>65.127759058638</v>
      </c>
      <c r="R42">
        <f ca="1" t="shared" si="3"/>
        <v>134.876975837654</v>
      </c>
      <c r="S42">
        <f ca="1" t="shared" si="3"/>
        <v>76.302645760157</v>
      </c>
      <c r="T42">
        <f ca="1" t="shared" si="3"/>
        <v>22.3653722648028</v>
      </c>
      <c r="U42" t="str">
        <f ca="1" t="shared" si="4"/>
        <v>C6</v>
      </c>
      <c r="V42">
        <v>42</v>
      </c>
      <c r="W42" t="str">
        <f ca="1" t="shared" si="5"/>
        <v>C6</v>
      </c>
      <c r="X42">
        <f ca="1" t="shared" si="6"/>
        <v>0</v>
      </c>
    </row>
    <row r="43" spans="1:24">
      <c r="A43" t="s">
        <v>54</v>
      </c>
      <c r="B43">
        <v>3</v>
      </c>
      <c r="C43">
        <v>1</v>
      </c>
      <c r="D43">
        <v>43</v>
      </c>
      <c r="E43">
        <v>12</v>
      </c>
      <c r="O43">
        <f ca="1" t="shared" si="3"/>
        <v>18.2306069450745</v>
      </c>
      <c r="P43">
        <f ca="1" t="shared" si="3"/>
        <v>175.098008269655</v>
      </c>
      <c r="Q43">
        <f ca="1" t="shared" si="3"/>
        <v>272.974586729241</v>
      </c>
      <c r="R43">
        <f ca="1" t="shared" si="3"/>
        <v>77.0830630625892</v>
      </c>
      <c r="S43">
        <f ca="1" t="shared" si="3"/>
        <v>140.216239252092</v>
      </c>
      <c r="T43">
        <f ca="1" t="shared" si="3"/>
        <v>221.355141718985</v>
      </c>
      <c r="U43" t="str">
        <f ca="1" t="shared" si="4"/>
        <v>C1</v>
      </c>
      <c r="V43">
        <v>43</v>
      </c>
      <c r="W43" t="str">
        <f ca="1" t="shared" si="5"/>
        <v>C1</v>
      </c>
      <c r="X43">
        <f ca="1" t="shared" si="6"/>
        <v>0</v>
      </c>
    </row>
    <row r="44" spans="1:24">
      <c r="A44" t="s">
        <v>55</v>
      </c>
      <c r="B44">
        <v>14</v>
      </c>
      <c r="C44">
        <v>96</v>
      </c>
      <c r="D44">
        <v>58</v>
      </c>
      <c r="E44">
        <v>27</v>
      </c>
      <c r="O44">
        <f ca="1" t="shared" si="3"/>
        <v>83.292910116886</v>
      </c>
      <c r="P44">
        <f ca="1" t="shared" si="3"/>
        <v>78.9544963887428</v>
      </c>
      <c r="Q44">
        <f ca="1" t="shared" si="3"/>
        <v>176.822297802059</v>
      </c>
      <c r="R44">
        <f ca="1" t="shared" si="3"/>
        <v>23.8669634525309</v>
      </c>
      <c r="S44">
        <f ca="1" t="shared" si="3"/>
        <v>45.2171842334305</v>
      </c>
      <c r="T44">
        <f ca="1" t="shared" si="3"/>
        <v>124.895907276103</v>
      </c>
      <c r="U44" t="str">
        <f ca="1" t="shared" si="4"/>
        <v>C4</v>
      </c>
      <c r="V44">
        <v>44</v>
      </c>
      <c r="W44" t="str">
        <f ca="1" t="shared" si="5"/>
        <v>C4</v>
      </c>
      <c r="X44">
        <f ca="1" t="shared" si="6"/>
        <v>0</v>
      </c>
    </row>
    <row r="45" spans="1:24">
      <c r="A45" t="s">
        <v>56</v>
      </c>
      <c r="B45">
        <v>13</v>
      </c>
      <c r="C45">
        <v>137</v>
      </c>
      <c r="D45">
        <v>79</v>
      </c>
      <c r="E45">
        <v>25</v>
      </c>
      <c r="O45">
        <f ca="1" t="shared" si="3"/>
        <v>125.523156118278</v>
      </c>
      <c r="P45">
        <f ca="1" t="shared" si="3"/>
        <v>42.3947225489211</v>
      </c>
      <c r="Q45">
        <f ca="1" t="shared" si="3"/>
        <v>136.763024973858</v>
      </c>
      <c r="R45">
        <f ca="1" t="shared" si="3"/>
        <v>64.9509964853846</v>
      </c>
      <c r="S45">
        <f ca="1" t="shared" si="3"/>
        <v>11.2846688032924</v>
      </c>
      <c r="T45">
        <f ca="1" t="shared" si="3"/>
        <v>85.1599076828011</v>
      </c>
      <c r="U45" t="str">
        <f ca="1" t="shared" si="4"/>
        <v>C5</v>
      </c>
      <c r="V45">
        <v>45</v>
      </c>
      <c r="W45" t="str">
        <f ca="1" t="shared" si="5"/>
        <v>C5</v>
      </c>
      <c r="X45">
        <f ca="1" t="shared" si="6"/>
        <v>0</v>
      </c>
    </row>
    <row r="46" spans="1:24">
      <c r="A46" t="s">
        <v>57</v>
      </c>
      <c r="B46">
        <v>0</v>
      </c>
      <c r="C46">
        <v>49</v>
      </c>
      <c r="D46">
        <v>74</v>
      </c>
      <c r="E46">
        <v>21</v>
      </c>
      <c r="O46">
        <f ca="1" t="shared" si="3"/>
        <v>40.3907980615305</v>
      </c>
      <c r="P46">
        <f ca="1" t="shared" si="3"/>
        <v>126.946100767215</v>
      </c>
      <c r="Q46">
        <f ca="1" t="shared" si="3"/>
        <v>224.4206429899</v>
      </c>
      <c r="R46">
        <f ca="1" t="shared" si="3"/>
        <v>31.2910841046526</v>
      </c>
      <c r="S46">
        <f ca="1" t="shared" si="3"/>
        <v>89.5312445462476</v>
      </c>
      <c r="T46">
        <f ca="1" t="shared" si="3"/>
        <v>172.379390650355</v>
      </c>
      <c r="U46" t="str">
        <f ca="1" t="shared" si="4"/>
        <v>C4</v>
      </c>
      <c r="V46">
        <v>46</v>
      </c>
      <c r="W46" t="str">
        <f ca="1" t="shared" si="5"/>
        <v>C4</v>
      </c>
      <c r="X46">
        <f ca="1" t="shared" si="6"/>
        <v>0</v>
      </c>
    </row>
    <row r="47" spans="1:24">
      <c r="A47" t="s">
        <v>58</v>
      </c>
      <c r="B47">
        <v>0.1</v>
      </c>
      <c r="C47">
        <v>44</v>
      </c>
      <c r="D47">
        <v>24</v>
      </c>
      <c r="E47">
        <v>8</v>
      </c>
      <c r="O47">
        <f ca="1" t="shared" si="3"/>
        <v>42.0392722843912</v>
      </c>
      <c r="P47">
        <f ca="1" t="shared" si="3"/>
        <v>136.856941731138</v>
      </c>
      <c r="Q47">
        <f ca="1" t="shared" si="3"/>
        <v>232.995246732632</v>
      </c>
      <c r="R47">
        <f ca="1" t="shared" si="3"/>
        <v>48.9512540981105</v>
      </c>
      <c r="S47">
        <f ca="1" t="shared" si="3"/>
        <v>106.069806024146</v>
      </c>
      <c r="T47">
        <f ca="1" t="shared" si="3"/>
        <v>182.491089246355</v>
      </c>
      <c r="U47" t="str">
        <f ca="1" t="shared" si="4"/>
        <v>C1</v>
      </c>
      <c r="V47">
        <v>47</v>
      </c>
      <c r="W47" t="str">
        <f ca="1" t="shared" si="5"/>
        <v>C1</v>
      </c>
      <c r="X47">
        <f ca="1" t="shared" si="6"/>
        <v>0</v>
      </c>
    </row>
    <row r="48" spans="1:24">
      <c r="A48" t="s">
        <v>59</v>
      </c>
      <c r="B48">
        <v>7</v>
      </c>
      <c r="C48">
        <v>100</v>
      </c>
      <c r="D48">
        <v>58</v>
      </c>
      <c r="E48">
        <v>16</v>
      </c>
      <c r="O48">
        <f ca="1" t="shared" si="3"/>
        <v>85.1721403460325</v>
      </c>
      <c r="P48">
        <f ca="1" t="shared" si="3"/>
        <v>75.2117843160232</v>
      </c>
      <c r="Q48">
        <f ca="1" t="shared" si="3"/>
        <v>173.192450759264</v>
      </c>
      <c r="R48">
        <f ca="1" t="shared" si="3"/>
        <v>24.1515757479944</v>
      </c>
      <c r="S48">
        <f ca="1" t="shared" si="3"/>
        <v>40.408461366402</v>
      </c>
      <c r="T48">
        <f ca="1" t="shared" si="3"/>
        <v>121.462792148638</v>
      </c>
      <c r="U48" t="str">
        <f ca="1" t="shared" si="4"/>
        <v>C4</v>
      </c>
      <c r="V48">
        <v>48</v>
      </c>
      <c r="W48" t="str">
        <f ca="1" t="shared" si="5"/>
        <v>C4</v>
      </c>
      <c r="X48">
        <f ca="1" t="shared" si="6"/>
        <v>0</v>
      </c>
    </row>
    <row r="49" spans="1:24">
      <c r="A49" t="s">
        <v>60</v>
      </c>
      <c r="B49">
        <v>1</v>
      </c>
      <c r="C49">
        <v>62</v>
      </c>
      <c r="D49">
        <v>73</v>
      </c>
      <c r="E49">
        <v>24</v>
      </c>
      <c r="O49">
        <f ca="1" t="shared" si="3"/>
        <v>52.0248575088541</v>
      </c>
      <c r="P49">
        <f ca="1" t="shared" si="3"/>
        <v>113.85434774307</v>
      </c>
      <c r="Q49">
        <f ca="1" t="shared" si="3"/>
        <v>211.299846190195</v>
      </c>
      <c r="R49">
        <f ca="1" t="shared" si="3"/>
        <v>20.8558211964376</v>
      </c>
      <c r="S49">
        <f ca="1" t="shared" si="3"/>
        <v>76.6051156907944</v>
      </c>
      <c r="T49">
        <f ca="1" t="shared" si="3"/>
        <v>159.211211529035</v>
      </c>
      <c r="U49" t="str">
        <f ca="1" t="shared" si="4"/>
        <v>C4</v>
      </c>
      <c r="V49">
        <v>49</v>
      </c>
      <c r="W49" t="str">
        <f ca="1" t="shared" si="5"/>
        <v>C4</v>
      </c>
      <c r="X49">
        <f ca="1" t="shared" si="6"/>
        <v>0</v>
      </c>
    </row>
    <row r="50" spans="1:24">
      <c r="A50" t="s">
        <v>61</v>
      </c>
      <c r="B50">
        <v>5</v>
      </c>
      <c r="C50">
        <v>65</v>
      </c>
      <c r="D50">
        <v>34</v>
      </c>
      <c r="E50">
        <v>9</v>
      </c>
      <c r="O50">
        <f ca="1" t="shared" si="3"/>
        <v>53.9391504629311</v>
      </c>
      <c r="P50">
        <f ca="1" t="shared" si="3"/>
        <v>113.825798920983</v>
      </c>
      <c r="Q50">
        <f ca="1" t="shared" si="3"/>
        <v>210.532954665059</v>
      </c>
      <c r="R50">
        <f ca="1" t="shared" si="3"/>
        <v>29.056816947338</v>
      </c>
      <c r="S50">
        <f ca="1" t="shared" si="3"/>
        <v>82.6216905539944</v>
      </c>
      <c r="T50">
        <f ca="1" t="shared" si="3"/>
        <v>159.746635815347</v>
      </c>
      <c r="U50" t="str">
        <f ca="1" t="shared" si="4"/>
        <v>C4</v>
      </c>
      <c r="V50">
        <v>50</v>
      </c>
      <c r="W50" t="str">
        <f ca="1" t="shared" si="5"/>
        <v>C4</v>
      </c>
      <c r="X50">
        <f ca="1" t="shared" si="6"/>
        <v>0</v>
      </c>
    </row>
    <row r="51" spans="1:24">
      <c r="A51" t="s">
        <v>62</v>
      </c>
      <c r="B51">
        <v>0</v>
      </c>
      <c r="C51">
        <v>0.1</v>
      </c>
      <c r="D51">
        <v>60</v>
      </c>
      <c r="E51">
        <v>11</v>
      </c>
      <c r="O51">
        <f ca="1" t="shared" si="3"/>
        <v>16.2416022907352</v>
      </c>
      <c r="P51">
        <f ca="1" t="shared" si="3"/>
        <v>175.382075766026</v>
      </c>
      <c r="Q51">
        <f ca="1" t="shared" si="3"/>
        <v>273.354321348685</v>
      </c>
      <c r="R51">
        <f ca="1" t="shared" si="3"/>
        <v>76.4379396053498</v>
      </c>
      <c r="S51">
        <f ca="1" t="shared" si="3"/>
        <v>138.917165066093</v>
      </c>
      <c r="T51">
        <f ca="1" t="shared" si="3"/>
        <v>221.482324072471</v>
      </c>
      <c r="U51" t="str">
        <f ca="1" t="shared" si="4"/>
        <v>C1</v>
      </c>
      <c r="V51">
        <v>51</v>
      </c>
      <c r="W51" t="str">
        <f ca="1" t="shared" si="5"/>
        <v>C1</v>
      </c>
      <c r="X51">
        <f ca="1" t="shared" si="6"/>
        <v>0</v>
      </c>
    </row>
    <row r="52" spans="1:24">
      <c r="A52" t="s">
        <v>63</v>
      </c>
      <c r="B52">
        <v>6</v>
      </c>
      <c r="C52">
        <v>143</v>
      </c>
      <c r="D52">
        <v>51</v>
      </c>
      <c r="E52">
        <v>11</v>
      </c>
      <c r="O52">
        <f ca="1" t="shared" si="3"/>
        <v>127.917586264515</v>
      </c>
      <c r="P52">
        <f ca="1" t="shared" si="3"/>
        <v>35.5149616359078</v>
      </c>
      <c r="Q52">
        <f ca="1" t="shared" si="3"/>
        <v>131.303560500087</v>
      </c>
      <c r="R52">
        <f ca="1" t="shared" si="3"/>
        <v>67.8021529484459</v>
      </c>
      <c r="S52">
        <f ca="1" t="shared" si="3"/>
        <v>22.2000844592988</v>
      </c>
      <c r="T52">
        <f ca="1" t="shared" si="3"/>
        <v>80.6879372017685</v>
      </c>
      <c r="U52" t="str">
        <f ca="1" t="shared" si="4"/>
        <v>C5</v>
      </c>
      <c r="V52">
        <v>52</v>
      </c>
      <c r="W52" t="str">
        <f ca="1" t="shared" si="5"/>
        <v>C5</v>
      </c>
      <c r="X52">
        <f ca="1" t="shared" si="6"/>
        <v>0</v>
      </c>
    </row>
  </sheetData>
  <mergeCells count="2">
    <mergeCell ref="G1:K1"/>
    <mergeCell ref="O1:R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topLeftCell="A16" workbookViewId="0">
      <selection activeCell="H33" sqref="H33"/>
    </sheetView>
  </sheetViews>
  <sheetFormatPr defaultColWidth="9" defaultRowHeight="15"/>
  <cols>
    <col min="23" max="23" width="10.5714285714286" customWidth="1"/>
  </cols>
  <sheetData>
    <row r="1" spans="6:22">
      <c r="F1">
        <f ca="1">_xlfn.SHEET(A1)-1</f>
        <v>8</v>
      </c>
      <c r="G1" s="7" t="s">
        <v>0</v>
      </c>
      <c r="H1" s="7"/>
      <c r="I1" s="7"/>
      <c r="J1" s="7"/>
      <c r="K1" s="7"/>
      <c r="L1" s="7"/>
      <c r="M1" s="7"/>
      <c r="O1" s="7" t="s">
        <v>1</v>
      </c>
      <c r="P1" s="7"/>
      <c r="Q1" s="7"/>
      <c r="R1" s="7"/>
      <c r="V1">
        <v>1</v>
      </c>
    </row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7</v>
      </c>
      <c r="V2">
        <v>2</v>
      </c>
      <c r="W2" t="s">
        <v>64</v>
      </c>
      <c r="X2" t="s">
        <v>65</v>
      </c>
    </row>
    <row r="3" spans="1:24">
      <c r="A3" t="s">
        <v>14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M3" si="0">IFERROR(AVERAGEIFS(INDIRECT($F$1&amp;"!"&amp;ADDRESS(3,$F3,1)):INDIRECT($F$1&amp;"!"&amp;ADDRESS(52,$F3,1)),INDIRECT($F$1&amp;"!$U$3"):INDIRECT($F$1&amp;"!$U$52"),H$2),0)</f>
        <v>2.16923076923077</v>
      </c>
      <c r="I3">
        <f ca="1" t="shared" si="0"/>
        <v>8.8</v>
      </c>
      <c r="J3">
        <f ca="1" t="shared" si="0"/>
        <v>11.75</v>
      </c>
      <c r="K3">
        <f ca="1" t="shared" si="0"/>
        <v>4.58333333333333</v>
      </c>
      <c r="L3">
        <f ca="1" t="shared" si="0"/>
        <v>7.75</v>
      </c>
      <c r="M3">
        <f ca="1" t="shared" si="0"/>
        <v>10.125</v>
      </c>
      <c r="O3">
        <f ca="1">SQRT(SUMXMY2($B3:$E3,H$3:H$6))</f>
        <v>178.395286110673</v>
      </c>
      <c r="P3">
        <f ca="1" t="shared" ref="P3:T18" si="1">SQRT(SUMXMY2($B3:$E3,I$3:I$6))</f>
        <v>17.8</v>
      </c>
      <c r="Q3">
        <f ca="1" t="shared" si="1"/>
        <v>80.7627698881112</v>
      </c>
      <c r="R3">
        <f ca="1" t="shared" si="1"/>
        <v>117.488149520612</v>
      </c>
      <c r="S3">
        <f ca="1" t="shared" si="1"/>
        <v>58.5904749084696</v>
      </c>
      <c r="T3">
        <f ca="1" t="shared" si="1"/>
        <v>34.0849123513616</v>
      </c>
      <c r="U3" t="str">
        <f ca="1">INDEX($O$2:$T$2,1,MATCH(MIN(O3:T3),O3:T3,0))</f>
        <v>C2</v>
      </c>
      <c r="V3">
        <v>3</v>
      </c>
      <c r="W3" t="str">
        <f ca="1">INDIRECT($F$1&amp;"!U"&amp;V3)</f>
        <v>C2</v>
      </c>
      <c r="X3">
        <f ca="1">IF(U3=W3,0,1)</f>
        <v>0</v>
      </c>
    </row>
    <row r="4" spans="1:24">
      <c r="A4" t="s">
        <v>15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M4" si="2">IFERROR(AVERAGEIFS(INDIRECT($F$1&amp;"!"&amp;ADDRESS(3,$F4,1)):INDIRECT($F$1&amp;"!"&amp;ADDRESS(52,$F4,1)),INDIRECT($F$1&amp;"!$U$3"):INDIRECT($F$1&amp;"!$U$52"),H$2),0)</f>
        <v>15.1846153846154</v>
      </c>
      <c r="I4">
        <f ca="1" t="shared" si="2"/>
        <v>179.4</v>
      </c>
      <c r="J4">
        <f ca="1" t="shared" si="2"/>
        <v>272.75</v>
      </c>
      <c r="K4">
        <f ca="1" t="shared" si="2"/>
        <v>76.0833333333333</v>
      </c>
      <c r="L4">
        <f ca="1" t="shared" si="2"/>
        <v>138.125</v>
      </c>
      <c r="M4">
        <f ca="1" t="shared" si="2"/>
        <v>223.5</v>
      </c>
      <c r="O4">
        <f ca="1" t="shared" ref="O4:T52" si="3">SQRT(SUMXMY2($B4:$E4,H$3:H$6))</f>
        <v>209.790814381413</v>
      </c>
      <c r="P4">
        <f ca="1" t="shared" si="1"/>
        <v>52.4579831865465</v>
      </c>
      <c r="Q4">
        <f ca="1" t="shared" si="1"/>
        <v>58.1001290876363</v>
      </c>
      <c r="R4">
        <f ca="1" t="shared" si="1"/>
        <v>149.347353322529</v>
      </c>
      <c r="S4">
        <f ca="1" t="shared" si="1"/>
        <v>92.6490353430623</v>
      </c>
      <c r="T4">
        <f ca="1" t="shared" si="1"/>
        <v>27.0098361712914</v>
      </c>
      <c r="U4" t="str">
        <f ca="1" t="shared" ref="U4:U52" si="4">INDEX($O$2:$T$2,1,MATCH(MIN(O4:T4),O4:T4,0))</f>
        <v>C6</v>
      </c>
      <c r="V4">
        <v>4</v>
      </c>
      <c r="W4" t="str">
        <f ca="1" t="shared" ref="W4:W52" si="5">INDIRECT($F$1&amp;"!U"&amp;V4)</f>
        <v>C6</v>
      </c>
      <c r="X4">
        <f ca="1" t="shared" ref="X4:X52" si="6">IF(U4=W4,0,1)</f>
        <v>0</v>
      </c>
    </row>
    <row r="5" spans="1:24">
      <c r="A5" t="s">
        <v>16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M5" si="7">IFERROR(AVERAGEIFS(INDIRECT($F$1&amp;"!"&amp;ADDRESS(3,$F5,1)):INDIRECT($F$1&amp;"!"&amp;ADDRESS(52,$F5,1)),INDIRECT($F$1&amp;"!$U$3"):INDIRECT($F$1&amp;"!$U$52"),H$2),0)</f>
        <v>54.3846153846154</v>
      </c>
      <c r="I5">
        <f ca="1" t="shared" si="7"/>
        <v>62</v>
      </c>
      <c r="J5">
        <f ca="1" t="shared" si="7"/>
        <v>62.5</v>
      </c>
      <c r="K5">
        <f ca="1" t="shared" si="7"/>
        <v>59.3333333333333</v>
      </c>
      <c r="L5">
        <f ca="1" t="shared" si="7"/>
        <v>71</v>
      </c>
      <c r="M5">
        <f ca="1" t="shared" si="7"/>
        <v>63.125</v>
      </c>
      <c r="O5">
        <f ca="1" t="shared" si="3"/>
        <v>212.429248924946</v>
      </c>
      <c r="P5">
        <f ca="1" t="shared" si="1"/>
        <v>48.4421304238366</v>
      </c>
      <c r="Q5">
        <f ca="1" t="shared" si="1"/>
        <v>48.1780551703781</v>
      </c>
      <c r="R5">
        <f ca="1" t="shared" si="1"/>
        <v>150.941926838694</v>
      </c>
      <c r="S5">
        <f ca="1" t="shared" si="1"/>
        <v>88.5682999159406</v>
      </c>
      <c r="T5">
        <f ca="1" t="shared" si="1"/>
        <v>10.1010519254185</v>
      </c>
      <c r="U5" t="str">
        <f ca="1" t="shared" si="4"/>
        <v>C6</v>
      </c>
      <c r="V5">
        <v>5</v>
      </c>
      <c r="W5" t="str">
        <f ca="1" t="shared" si="5"/>
        <v>C6</v>
      </c>
      <c r="X5">
        <f ca="1" t="shared" si="6"/>
        <v>0</v>
      </c>
    </row>
    <row r="6" spans="1:24">
      <c r="A6" t="s">
        <v>17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M6" si="8">IFERROR(AVERAGEIFS(INDIRECT($F$1&amp;"!"&amp;ADDRESS(3,$F6,1)):INDIRECT($F$1&amp;"!"&amp;ADDRESS(52,$F6,1)),INDIRECT($F$1&amp;"!$U$3"):INDIRECT($F$1&amp;"!$U$52"),H$2),0)</f>
        <v>11.0769230769231</v>
      </c>
      <c r="I6">
        <f ca="1" t="shared" si="8"/>
        <v>21.8</v>
      </c>
      <c r="J6">
        <f ca="1" t="shared" si="8"/>
        <v>26.5</v>
      </c>
      <c r="K6">
        <f ca="1" t="shared" si="8"/>
        <v>17.9166666666667</v>
      </c>
      <c r="L6">
        <f ca="1" t="shared" si="8"/>
        <v>19.125</v>
      </c>
      <c r="M6">
        <f ca="1" t="shared" si="8"/>
        <v>30</v>
      </c>
      <c r="O6">
        <f ca="1" t="shared" si="3"/>
        <v>162.088013931799</v>
      </c>
      <c r="P6">
        <f ca="1" t="shared" si="1"/>
        <v>13.1696621065235</v>
      </c>
      <c r="Q6">
        <f ca="1" t="shared" si="1"/>
        <v>97.1011070997648</v>
      </c>
      <c r="R6">
        <f ca="1" t="shared" si="1"/>
        <v>101.409065724476</v>
      </c>
      <c r="S6">
        <f ca="1" t="shared" si="1"/>
        <v>44.2362266700043</v>
      </c>
      <c r="T6">
        <f ca="1" t="shared" si="1"/>
        <v>50.0802481024206</v>
      </c>
      <c r="U6" t="str">
        <f ca="1" t="shared" si="4"/>
        <v>C2</v>
      </c>
      <c r="V6">
        <v>6</v>
      </c>
      <c r="W6" t="str">
        <f ca="1" t="shared" si="5"/>
        <v>C2</v>
      </c>
      <c r="X6">
        <f ca="1" t="shared" si="6"/>
        <v>0</v>
      </c>
    </row>
    <row r="7" spans="1:24">
      <c r="A7" t="s">
        <v>18</v>
      </c>
      <c r="B7">
        <v>7</v>
      </c>
      <c r="C7">
        <v>235</v>
      </c>
      <c r="D7">
        <v>86</v>
      </c>
      <c r="E7">
        <v>39</v>
      </c>
      <c r="O7">
        <f ca="1" t="shared" si="3"/>
        <v>223.87802575108</v>
      </c>
      <c r="P7">
        <f ca="1" t="shared" si="1"/>
        <v>62.9796792624415</v>
      </c>
      <c r="Q7">
        <f ca="1" t="shared" si="1"/>
        <v>46.4340930782545</v>
      </c>
      <c r="R7">
        <f ca="1" t="shared" si="1"/>
        <v>162.529890413357</v>
      </c>
      <c r="S7">
        <f ca="1" t="shared" si="1"/>
        <v>100.026715181495</v>
      </c>
      <c r="T7">
        <f ca="1" t="shared" si="1"/>
        <v>27.3181487293704</v>
      </c>
      <c r="U7" t="str">
        <f ca="1" t="shared" si="4"/>
        <v>C6</v>
      </c>
      <c r="V7">
        <v>7</v>
      </c>
      <c r="W7" t="str">
        <f ca="1" t="shared" si="5"/>
        <v>C6</v>
      </c>
      <c r="X7">
        <f ca="1" t="shared" si="6"/>
        <v>0</v>
      </c>
    </row>
    <row r="8" spans="1:24">
      <c r="A8" t="s">
        <v>19</v>
      </c>
      <c r="B8">
        <v>5</v>
      </c>
      <c r="C8">
        <v>170</v>
      </c>
      <c r="D8">
        <v>78</v>
      </c>
      <c r="E8">
        <v>37</v>
      </c>
      <c r="O8">
        <f ca="1" t="shared" si="3"/>
        <v>158.762429043334</v>
      </c>
      <c r="P8">
        <f ca="1" t="shared" si="1"/>
        <v>24.2866218317822</v>
      </c>
      <c r="Q8">
        <f ca="1" t="shared" si="1"/>
        <v>104.659567168988</v>
      </c>
      <c r="R8">
        <f ca="1" t="shared" si="1"/>
        <v>97.6377588049032</v>
      </c>
      <c r="S8">
        <f ca="1" t="shared" si="1"/>
        <v>37.3107725730787</v>
      </c>
      <c r="T8">
        <f ca="1" t="shared" si="1"/>
        <v>56.2030359500268</v>
      </c>
      <c r="U8" t="str">
        <f ca="1" t="shared" si="4"/>
        <v>C2</v>
      </c>
      <c r="V8">
        <v>8</v>
      </c>
      <c r="W8" t="str">
        <f ca="1" t="shared" si="5"/>
        <v>C2</v>
      </c>
      <c r="X8">
        <f ca="1" t="shared" si="6"/>
        <v>0</v>
      </c>
    </row>
    <row r="9" spans="1:24">
      <c r="A9" t="s">
        <v>20</v>
      </c>
      <c r="B9">
        <v>0</v>
      </c>
      <c r="C9">
        <v>35</v>
      </c>
      <c r="D9">
        <v>75</v>
      </c>
      <c r="E9">
        <v>7</v>
      </c>
      <c r="O9">
        <f ca="1" t="shared" si="3"/>
        <v>28.9649860038147</v>
      </c>
      <c r="P9">
        <f ca="1" t="shared" si="1"/>
        <v>146.002876683989</v>
      </c>
      <c r="Q9">
        <f ca="1" t="shared" si="1"/>
        <v>239.164430883859</v>
      </c>
      <c r="R9">
        <f ca="1" t="shared" si="1"/>
        <v>45.5353190147799</v>
      </c>
      <c r="S9">
        <f ca="1" t="shared" si="1"/>
        <v>104.200977682553</v>
      </c>
      <c r="T9">
        <f ca="1" t="shared" si="1"/>
        <v>190.538135946587</v>
      </c>
      <c r="U9" t="str">
        <f ca="1" t="shared" si="4"/>
        <v>C1</v>
      </c>
      <c r="V9">
        <v>9</v>
      </c>
      <c r="W9" t="str">
        <f ca="1" t="shared" si="5"/>
        <v>C1</v>
      </c>
      <c r="X9">
        <f ca="1" t="shared" si="6"/>
        <v>0</v>
      </c>
    </row>
    <row r="10" spans="1:24">
      <c r="A10" t="s">
        <v>21</v>
      </c>
      <c r="B10">
        <v>4</v>
      </c>
      <c r="C10">
        <v>198</v>
      </c>
      <c r="D10">
        <v>70</v>
      </c>
      <c r="E10">
        <v>15</v>
      </c>
      <c r="G10" t="s">
        <v>66</v>
      </c>
      <c r="I10" s="8">
        <f ca="1">SUM(X3:X52)</f>
        <v>0</v>
      </c>
      <c r="O10">
        <f ca="1" t="shared" si="3"/>
        <v>183.532142518083</v>
      </c>
      <c r="P10">
        <f ca="1" t="shared" si="1"/>
        <v>21.8915508815616</v>
      </c>
      <c r="Q10">
        <f ca="1" t="shared" si="1"/>
        <v>76.3945351448649</v>
      </c>
      <c r="R10">
        <f ca="1" t="shared" si="1"/>
        <v>122.418538674137</v>
      </c>
      <c r="S10">
        <f ca="1" t="shared" si="1"/>
        <v>60.1422792218586</v>
      </c>
      <c r="T10">
        <f ca="1" t="shared" si="1"/>
        <v>30.984371060262</v>
      </c>
      <c r="U10" t="str">
        <f ca="1" t="shared" si="4"/>
        <v>C2</v>
      </c>
      <c r="V10">
        <v>10</v>
      </c>
      <c r="W10" t="str">
        <f ca="1" t="shared" si="5"/>
        <v>C2</v>
      </c>
      <c r="X10">
        <f ca="1" t="shared" si="6"/>
        <v>0</v>
      </c>
    </row>
    <row r="11" spans="1:24">
      <c r="A11" t="s">
        <v>22</v>
      </c>
      <c r="B11">
        <v>13</v>
      </c>
      <c r="C11">
        <v>259</v>
      </c>
      <c r="D11">
        <v>74</v>
      </c>
      <c r="E11">
        <v>30</v>
      </c>
      <c r="O11">
        <f ca="1" t="shared" si="3"/>
        <v>245.572990149821</v>
      </c>
      <c r="P11">
        <f ca="1" t="shared" si="1"/>
        <v>81.0249344337902</v>
      </c>
      <c r="Q11">
        <f ca="1" t="shared" si="1"/>
        <v>18.3064196390228</v>
      </c>
      <c r="R11">
        <f ca="1" t="shared" si="1"/>
        <v>184.093631822988</v>
      </c>
      <c r="S11">
        <f ca="1" t="shared" si="1"/>
        <v>121.513759508954</v>
      </c>
      <c r="T11">
        <f ca="1" t="shared" si="1"/>
        <v>37.2395119463185</v>
      </c>
      <c r="U11" t="str">
        <f ca="1" t="shared" si="4"/>
        <v>C3</v>
      </c>
      <c r="V11">
        <v>11</v>
      </c>
      <c r="W11" t="str">
        <f ca="1" t="shared" si="5"/>
        <v>C3</v>
      </c>
      <c r="X11">
        <f ca="1" t="shared" si="6"/>
        <v>0</v>
      </c>
    </row>
    <row r="12" spans="1:24">
      <c r="A12" t="s">
        <v>23</v>
      </c>
      <c r="B12">
        <v>15</v>
      </c>
      <c r="C12">
        <v>136</v>
      </c>
      <c r="D12">
        <v>52</v>
      </c>
      <c r="E12">
        <v>24</v>
      </c>
      <c r="O12">
        <f ca="1" t="shared" si="3"/>
        <v>122.203429192919</v>
      </c>
      <c r="P12">
        <f ca="1" t="shared" si="1"/>
        <v>45.0204398023831</v>
      </c>
      <c r="Q12">
        <f ca="1" t="shared" si="1"/>
        <v>137.213793038455</v>
      </c>
      <c r="R12">
        <f ca="1" t="shared" si="1"/>
        <v>61.5572791074387</v>
      </c>
      <c r="S12">
        <f ca="1" t="shared" si="1"/>
        <v>21.0200796858623</v>
      </c>
      <c r="T12">
        <f ca="1" t="shared" si="1"/>
        <v>88.542539211387</v>
      </c>
      <c r="U12" t="str">
        <f ca="1" t="shared" si="4"/>
        <v>C5</v>
      </c>
      <c r="V12">
        <v>12</v>
      </c>
      <c r="W12" t="str">
        <f ca="1" t="shared" si="5"/>
        <v>C5</v>
      </c>
      <c r="X12">
        <f ca="1" t="shared" si="6"/>
        <v>0</v>
      </c>
    </row>
    <row r="13" spans="1:24">
      <c r="A13" t="s">
        <v>24</v>
      </c>
      <c r="B13">
        <v>5</v>
      </c>
      <c r="C13">
        <v>32</v>
      </c>
      <c r="D13">
        <v>82</v>
      </c>
      <c r="E13">
        <v>17</v>
      </c>
      <c r="O13">
        <f ca="1" t="shared" si="3"/>
        <v>32.9918584183051</v>
      </c>
      <c r="P13">
        <f ca="1" t="shared" si="1"/>
        <v>148.876593190468</v>
      </c>
      <c r="Q13">
        <f ca="1" t="shared" si="1"/>
        <v>241.819405755618</v>
      </c>
      <c r="R13">
        <f ca="1" t="shared" si="1"/>
        <v>49.5795516765172</v>
      </c>
      <c r="S13">
        <f ca="1" t="shared" si="1"/>
        <v>106.750146369923</v>
      </c>
      <c r="T13">
        <f ca="1" t="shared" si="1"/>
        <v>192.934655388813</v>
      </c>
      <c r="U13" t="str">
        <f ca="1" t="shared" si="4"/>
        <v>C1</v>
      </c>
      <c r="V13">
        <v>13</v>
      </c>
      <c r="W13" t="str">
        <f ca="1" t="shared" si="5"/>
        <v>C1</v>
      </c>
      <c r="X13">
        <f ca="1" t="shared" si="6"/>
        <v>0</v>
      </c>
    </row>
    <row r="14" spans="1:24">
      <c r="A14" t="s">
        <v>25</v>
      </c>
      <c r="B14">
        <v>0</v>
      </c>
      <c r="C14">
        <v>54</v>
      </c>
      <c r="D14">
        <v>47</v>
      </c>
      <c r="E14">
        <v>12</v>
      </c>
      <c r="O14">
        <f ca="1" t="shared" si="3"/>
        <v>39.5818678229695</v>
      </c>
      <c r="P14">
        <f ca="1" t="shared" si="1"/>
        <v>126.978895884316</v>
      </c>
      <c r="Q14">
        <f ca="1" t="shared" si="1"/>
        <v>220.091174289202</v>
      </c>
      <c r="R14">
        <f ca="1" t="shared" si="1"/>
        <v>26.3779948273388</v>
      </c>
      <c r="S14">
        <f ca="1" t="shared" si="1"/>
        <v>88.1126764432905</v>
      </c>
      <c r="T14">
        <f ca="1" t="shared" si="1"/>
        <v>171.513210132631</v>
      </c>
      <c r="U14" t="str">
        <f ca="1" t="shared" si="4"/>
        <v>C4</v>
      </c>
      <c r="V14">
        <v>14</v>
      </c>
      <c r="W14" t="str">
        <f ca="1" t="shared" si="5"/>
        <v>C4</v>
      </c>
      <c r="X14">
        <f ca="1" t="shared" si="6"/>
        <v>0</v>
      </c>
    </row>
    <row r="15" spans="1:24">
      <c r="A15" t="s">
        <v>26</v>
      </c>
      <c r="B15">
        <v>10</v>
      </c>
      <c r="C15">
        <v>218</v>
      </c>
      <c r="D15">
        <v>79</v>
      </c>
      <c r="E15">
        <v>20</v>
      </c>
      <c r="O15">
        <f ca="1" t="shared" si="3"/>
        <v>204.648331644728</v>
      </c>
      <c r="P15">
        <f ca="1" t="shared" si="1"/>
        <v>42.2331623253575</v>
      </c>
      <c r="Q15">
        <f ca="1" t="shared" si="1"/>
        <v>57.5771221927599</v>
      </c>
      <c r="R15">
        <f ca="1" t="shared" si="1"/>
        <v>143.390371403073</v>
      </c>
      <c r="S15">
        <f ca="1" t="shared" si="1"/>
        <v>80.3109192451438</v>
      </c>
      <c r="T15">
        <f ca="1" t="shared" si="1"/>
        <v>19.552013962761</v>
      </c>
      <c r="U15" t="str">
        <f ca="1" t="shared" si="4"/>
        <v>C6</v>
      </c>
      <c r="V15">
        <v>15</v>
      </c>
      <c r="W15" t="str">
        <f ca="1" t="shared" si="5"/>
        <v>C6</v>
      </c>
      <c r="X15">
        <f ca="1" t="shared" si="6"/>
        <v>0</v>
      </c>
    </row>
    <row r="16" spans="1:24">
      <c r="A16" t="s">
        <v>27</v>
      </c>
      <c r="B16">
        <v>7</v>
      </c>
      <c r="C16">
        <v>26</v>
      </c>
      <c r="D16">
        <v>65</v>
      </c>
      <c r="E16">
        <v>19</v>
      </c>
      <c r="O16">
        <f ca="1" t="shared" si="3"/>
        <v>17.7699300561703</v>
      </c>
      <c r="P16">
        <f ca="1" t="shared" si="1"/>
        <v>153.465435847946</v>
      </c>
      <c r="Q16">
        <f ca="1" t="shared" si="1"/>
        <v>246.92230559429</v>
      </c>
      <c r="R16">
        <f ca="1" t="shared" si="1"/>
        <v>50.4724209621232</v>
      </c>
      <c r="S16">
        <f ca="1" t="shared" si="1"/>
        <v>112.287994683314</v>
      </c>
      <c r="T16">
        <f ca="1" t="shared" si="1"/>
        <v>197.839660457654</v>
      </c>
      <c r="U16" t="str">
        <f ca="1" t="shared" si="4"/>
        <v>C1</v>
      </c>
      <c r="V16">
        <v>16</v>
      </c>
      <c r="W16" t="str">
        <f ca="1" t="shared" si="5"/>
        <v>C1</v>
      </c>
      <c r="X16">
        <f ca="1" t="shared" si="6"/>
        <v>0</v>
      </c>
    </row>
    <row r="17" spans="1:24">
      <c r="A17" t="s">
        <v>28</v>
      </c>
      <c r="B17">
        <v>2</v>
      </c>
      <c r="C17">
        <v>0.1</v>
      </c>
      <c r="D17">
        <v>53</v>
      </c>
      <c r="E17">
        <v>9</v>
      </c>
      <c r="O17">
        <f ca="1" t="shared" si="3"/>
        <v>15.2906844054084</v>
      </c>
      <c r="P17">
        <f ca="1" t="shared" si="1"/>
        <v>180.10988312694</v>
      </c>
      <c r="Q17">
        <f ca="1" t="shared" si="1"/>
        <v>273.549968013158</v>
      </c>
      <c r="R17">
        <f ca="1" t="shared" si="1"/>
        <v>76.8098861547855</v>
      </c>
      <c r="S17">
        <f ca="1" t="shared" si="1"/>
        <v>139.679915342185</v>
      </c>
      <c r="T17">
        <f ca="1" t="shared" si="1"/>
        <v>224.760074857613</v>
      </c>
      <c r="U17" t="str">
        <f ca="1" t="shared" si="4"/>
        <v>C1</v>
      </c>
      <c r="V17">
        <v>17</v>
      </c>
      <c r="W17" t="str">
        <f ca="1" t="shared" si="5"/>
        <v>C1</v>
      </c>
      <c r="X17">
        <f ca="1" t="shared" si="6"/>
        <v>0</v>
      </c>
    </row>
    <row r="18" spans="1:24">
      <c r="A18" t="s">
        <v>29</v>
      </c>
      <c r="B18">
        <v>3</v>
      </c>
      <c r="C18">
        <v>80</v>
      </c>
      <c r="D18">
        <v>56</v>
      </c>
      <c r="E18">
        <v>16</v>
      </c>
      <c r="O18">
        <f ca="1" t="shared" si="3"/>
        <v>65.0274589246818</v>
      </c>
      <c r="P18">
        <f ca="1" t="shared" si="1"/>
        <v>99.9181665164048</v>
      </c>
      <c r="Q18">
        <f ca="1" t="shared" si="1"/>
        <v>193.343282789964</v>
      </c>
      <c r="R18">
        <f ca="1" t="shared" si="1"/>
        <v>5.71243769720463</v>
      </c>
      <c r="S18">
        <f ca="1" t="shared" si="1"/>
        <v>60.2979580914644</v>
      </c>
      <c r="T18">
        <f ca="1" t="shared" si="1"/>
        <v>144.532976341041</v>
      </c>
      <c r="U18" t="str">
        <f ca="1" t="shared" si="4"/>
        <v>C4</v>
      </c>
      <c r="V18">
        <v>18</v>
      </c>
      <c r="W18" t="str">
        <f ca="1" t="shared" si="5"/>
        <v>C4</v>
      </c>
      <c r="X18">
        <f ca="1" t="shared" si="6"/>
        <v>0</v>
      </c>
    </row>
    <row r="19" spans="1:24">
      <c r="A19" t="s">
        <v>30</v>
      </c>
      <c r="B19">
        <v>7</v>
      </c>
      <c r="C19">
        <v>70</v>
      </c>
      <c r="D19">
        <v>43</v>
      </c>
      <c r="E19">
        <v>15</v>
      </c>
      <c r="O19">
        <f ca="1" t="shared" si="3"/>
        <v>56.3299451614635</v>
      </c>
      <c r="P19">
        <f ca="1" t="shared" si="3"/>
        <v>111.260235484202</v>
      </c>
      <c r="Q19">
        <f ca="1" t="shared" si="3"/>
        <v>204.065246918725</v>
      </c>
      <c r="R19">
        <f ca="1" t="shared" si="3"/>
        <v>17.8362536549704</v>
      </c>
      <c r="S19">
        <f ca="1" t="shared" si="3"/>
        <v>73.7739367934232</v>
      </c>
      <c r="T19">
        <f ca="1" t="shared" si="3"/>
        <v>155.570020408818</v>
      </c>
      <c r="U19" t="str">
        <f ca="1" t="shared" si="4"/>
        <v>C4</v>
      </c>
      <c r="V19">
        <v>19</v>
      </c>
      <c r="W19" t="str">
        <f ca="1" t="shared" si="5"/>
        <v>C4</v>
      </c>
      <c r="X19">
        <f ca="1" t="shared" si="6"/>
        <v>0</v>
      </c>
    </row>
    <row r="20" spans="1:24">
      <c r="A20" t="s">
        <v>31</v>
      </c>
      <c r="B20">
        <v>15</v>
      </c>
      <c r="C20">
        <v>159</v>
      </c>
      <c r="D20">
        <v>61</v>
      </c>
      <c r="E20">
        <v>19</v>
      </c>
      <c r="O20">
        <f ca="1" t="shared" si="3"/>
        <v>144.755075740586</v>
      </c>
      <c r="P20">
        <f ca="1" t="shared" si="3"/>
        <v>21.5276566304835</v>
      </c>
      <c r="Q20">
        <f ca="1" t="shared" si="3"/>
        <v>114.053167426424</v>
      </c>
      <c r="R20">
        <f ca="1" t="shared" si="3"/>
        <v>83.59205670663</v>
      </c>
      <c r="S20">
        <f ca="1" t="shared" si="3"/>
        <v>24.2557982758762</v>
      </c>
      <c r="T20">
        <f ca="1" t="shared" si="3"/>
        <v>65.6470201151583</v>
      </c>
      <c r="U20" t="str">
        <f ca="1" t="shared" si="4"/>
        <v>C2</v>
      </c>
      <c r="V20">
        <v>20</v>
      </c>
      <c r="W20" t="str">
        <f ca="1" t="shared" si="5"/>
        <v>C2</v>
      </c>
      <c r="X20">
        <f ca="1" t="shared" si="6"/>
        <v>0</v>
      </c>
    </row>
    <row r="21" spans="1:24">
      <c r="A21" t="s">
        <v>32</v>
      </c>
      <c r="B21">
        <v>1</v>
      </c>
      <c r="C21">
        <v>0.1</v>
      </c>
      <c r="D21">
        <v>45</v>
      </c>
      <c r="E21">
        <v>7</v>
      </c>
      <c r="O21">
        <f ca="1" t="shared" si="3"/>
        <v>18.264857776227</v>
      </c>
      <c r="P21">
        <f ca="1" t="shared" si="3"/>
        <v>180.879434983638</v>
      </c>
      <c r="Q21">
        <f ca="1" t="shared" si="3"/>
        <v>274.116918485525</v>
      </c>
      <c r="R21">
        <f ca="1" t="shared" si="3"/>
        <v>78.1724073940273</v>
      </c>
      <c r="S21">
        <f ca="1" t="shared" si="3"/>
        <v>141.136383509002</v>
      </c>
      <c r="T21">
        <f ca="1" t="shared" si="3"/>
        <v>225.495767698642</v>
      </c>
      <c r="U21" t="str">
        <f ca="1" t="shared" si="4"/>
        <v>C1</v>
      </c>
      <c r="V21">
        <v>21</v>
      </c>
      <c r="W21" t="str">
        <f ca="1" t="shared" si="5"/>
        <v>C1</v>
      </c>
      <c r="X21">
        <f ca="1" t="shared" si="6"/>
        <v>0</v>
      </c>
    </row>
    <row r="22" spans="1:24">
      <c r="A22" t="s">
        <v>33</v>
      </c>
      <c r="B22">
        <v>10</v>
      </c>
      <c r="C22">
        <v>260</v>
      </c>
      <c r="D22">
        <v>63</v>
      </c>
      <c r="E22">
        <v>28</v>
      </c>
      <c r="O22">
        <f ca="1" t="shared" si="3"/>
        <v>245.675617177895</v>
      </c>
      <c r="P22">
        <f ca="1" t="shared" si="3"/>
        <v>80.8532003077182</v>
      </c>
      <c r="Q22">
        <f ca="1" t="shared" si="3"/>
        <v>12.9663024798899</v>
      </c>
      <c r="R22">
        <f ca="1" t="shared" si="3"/>
        <v>184.308975937449</v>
      </c>
      <c r="S22">
        <f ca="1" t="shared" si="3"/>
        <v>122.479972852708</v>
      </c>
      <c r="T22">
        <f ca="1" t="shared" si="3"/>
        <v>36.5551808913593</v>
      </c>
      <c r="U22" t="str">
        <f ca="1" t="shared" si="4"/>
        <v>C3</v>
      </c>
      <c r="V22">
        <v>22</v>
      </c>
      <c r="W22" t="str">
        <f ca="1" t="shared" si="5"/>
        <v>C3</v>
      </c>
      <c r="X22">
        <f ca="1" t="shared" si="6"/>
        <v>0</v>
      </c>
    </row>
    <row r="23" spans="1:24">
      <c r="A23" t="s">
        <v>34</v>
      </c>
      <c r="B23">
        <v>2</v>
      </c>
      <c r="C23">
        <v>138</v>
      </c>
      <c r="D23">
        <v>82</v>
      </c>
      <c r="E23">
        <v>13</v>
      </c>
      <c r="O23">
        <f ca="1" t="shared" si="3"/>
        <v>125.896604519684</v>
      </c>
      <c r="P23">
        <f ca="1" t="shared" si="3"/>
        <v>47.3036996438968</v>
      </c>
      <c r="Q23">
        <f ca="1" t="shared" si="3"/>
        <v>137.168236119008</v>
      </c>
      <c r="R23">
        <f ca="1" t="shared" si="3"/>
        <v>66.1687132345122</v>
      </c>
      <c r="S23">
        <f ca="1" t="shared" si="3"/>
        <v>13.8417394138165</v>
      </c>
      <c r="T23">
        <f ca="1" t="shared" si="3"/>
        <v>89.5630015687281</v>
      </c>
      <c r="U23" t="str">
        <f ca="1" t="shared" si="4"/>
        <v>C5</v>
      </c>
      <c r="V23">
        <v>23</v>
      </c>
      <c r="W23" t="str">
        <f ca="1" t="shared" si="5"/>
        <v>C5</v>
      </c>
      <c r="X23">
        <f ca="1" t="shared" si="6"/>
        <v>0</v>
      </c>
    </row>
    <row r="24" spans="1:24">
      <c r="A24" t="s">
        <v>35</v>
      </c>
      <c r="B24">
        <v>11</v>
      </c>
      <c r="C24">
        <v>251</v>
      </c>
      <c r="D24">
        <v>68</v>
      </c>
      <c r="E24">
        <v>35</v>
      </c>
      <c r="O24">
        <f ca="1" t="shared" si="3"/>
        <v>237.580660859004</v>
      </c>
      <c r="P24">
        <f ca="1" t="shared" si="3"/>
        <v>73.086524065658</v>
      </c>
      <c r="Q24">
        <f ca="1" t="shared" si="3"/>
        <v>24.0026040253969</v>
      </c>
      <c r="R24">
        <f ca="1" t="shared" si="3"/>
        <v>176.07942888872</v>
      </c>
      <c r="S24">
        <f ca="1" t="shared" si="3"/>
        <v>114.071660591051</v>
      </c>
      <c r="T24">
        <f ca="1" t="shared" si="3"/>
        <v>28.3862863016633</v>
      </c>
      <c r="U24" t="str">
        <f ca="1" t="shared" si="4"/>
        <v>C3</v>
      </c>
      <c r="V24">
        <v>24</v>
      </c>
      <c r="W24" t="str">
        <f ca="1" t="shared" si="5"/>
        <v>C3</v>
      </c>
      <c r="X24">
        <f ca="1" t="shared" si="6"/>
        <v>0</v>
      </c>
    </row>
    <row r="25" spans="1:24">
      <c r="A25" t="s">
        <v>36</v>
      </c>
      <c r="B25">
        <v>1</v>
      </c>
      <c r="C25">
        <v>3</v>
      </c>
      <c r="D25">
        <v>62</v>
      </c>
      <c r="E25">
        <v>14</v>
      </c>
      <c r="O25">
        <f ca="1" t="shared" si="3"/>
        <v>14.7095348057368</v>
      </c>
      <c r="P25">
        <f ca="1" t="shared" si="3"/>
        <v>176.74456144391</v>
      </c>
      <c r="Q25">
        <f ca="1" t="shared" si="3"/>
        <v>270.253815884254</v>
      </c>
      <c r="R25">
        <f ca="1" t="shared" si="3"/>
        <v>73.3243839236156</v>
      </c>
      <c r="S25">
        <f ca="1" t="shared" si="3"/>
        <v>135.689328062306</v>
      </c>
      <c r="T25">
        <f ca="1" t="shared" si="3"/>
        <v>221.270832352572</v>
      </c>
      <c r="U25" t="str">
        <f ca="1" t="shared" si="4"/>
        <v>C1</v>
      </c>
      <c r="V25">
        <v>25</v>
      </c>
      <c r="W25" t="str">
        <f ca="1" t="shared" si="5"/>
        <v>C1</v>
      </c>
      <c r="X25">
        <f ca="1" t="shared" si="6"/>
        <v>0</v>
      </c>
    </row>
    <row r="26" spans="1:24">
      <c r="A26" t="s">
        <v>37</v>
      </c>
      <c r="B26">
        <v>13</v>
      </c>
      <c r="C26">
        <v>209</v>
      </c>
      <c r="D26">
        <v>44</v>
      </c>
      <c r="E26">
        <v>13</v>
      </c>
      <c r="O26">
        <f ca="1" t="shared" si="3"/>
        <v>194.404854201941</v>
      </c>
      <c r="P26">
        <f ca="1" t="shared" si="3"/>
        <v>35.989442896494</v>
      </c>
      <c r="Q26">
        <f ca="1" t="shared" si="3"/>
        <v>67.7504612530424</v>
      </c>
      <c r="R26">
        <f ca="1" t="shared" si="3"/>
        <v>134.152768431284</v>
      </c>
      <c r="S26">
        <f ca="1" t="shared" si="3"/>
        <v>76.2715133585272</v>
      </c>
      <c r="T26">
        <f ca="1" t="shared" si="3"/>
        <v>29.5513324572683</v>
      </c>
      <c r="U26" t="str">
        <f ca="1" t="shared" si="4"/>
        <v>C6</v>
      </c>
      <c r="V26">
        <v>26</v>
      </c>
      <c r="W26" t="str">
        <f ca="1" t="shared" si="5"/>
        <v>C6</v>
      </c>
      <c r="X26">
        <f ca="1" t="shared" si="6"/>
        <v>0</v>
      </c>
    </row>
    <row r="27" spans="1:24">
      <c r="A27" t="s">
        <v>38</v>
      </c>
      <c r="B27">
        <v>8</v>
      </c>
      <c r="C27">
        <v>80</v>
      </c>
      <c r="D27">
        <v>61</v>
      </c>
      <c r="E27">
        <v>28</v>
      </c>
      <c r="O27">
        <f ca="1" t="shared" si="3"/>
        <v>67.5661586803377</v>
      </c>
      <c r="P27">
        <f ca="1" t="shared" si="3"/>
        <v>99.6014056125716</v>
      </c>
      <c r="Q27">
        <f ca="1" t="shared" si="3"/>
        <v>192.798145737971</v>
      </c>
      <c r="R27">
        <f ca="1" t="shared" si="3"/>
        <v>11.4658308803932</v>
      </c>
      <c r="S27">
        <f ca="1" t="shared" si="3"/>
        <v>59.6434719814331</v>
      </c>
      <c r="T27">
        <f ca="1" t="shared" si="3"/>
        <v>143.545397871196</v>
      </c>
      <c r="U27" t="str">
        <f ca="1" t="shared" si="4"/>
        <v>C4</v>
      </c>
      <c r="V27">
        <v>27</v>
      </c>
      <c r="W27" t="str">
        <f ca="1" t="shared" si="5"/>
        <v>C4</v>
      </c>
      <c r="X27">
        <f ca="1" t="shared" si="6"/>
        <v>0</v>
      </c>
    </row>
    <row r="28" spans="1:24">
      <c r="A28" t="s">
        <v>39</v>
      </c>
      <c r="B28">
        <v>5</v>
      </c>
      <c r="C28">
        <v>19</v>
      </c>
      <c r="D28">
        <v>45</v>
      </c>
      <c r="E28">
        <v>15</v>
      </c>
      <c r="O28">
        <f ca="1" t="shared" si="3"/>
        <v>11.2263953548199</v>
      </c>
      <c r="P28">
        <f ca="1" t="shared" si="3"/>
        <v>161.486346172053</v>
      </c>
      <c r="Q28">
        <f ca="1" t="shared" si="3"/>
        <v>254.702031794016</v>
      </c>
      <c r="R28">
        <f ca="1" t="shared" si="3"/>
        <v>58.9290416046659</v>
      </c>
      <c r="S28">
        <f ca="1" t="shared" si="3"/>
        <v>122.030093624483</v>
      </c>
      <c r="T28">
        <f ca="1" t="shared" si="3"/>
        <v>205.912678701434</v>
      </c>
      <c r="U28" t="str">
        <f ca="1" t="shared" si="4"/>
        <v>C1</v>
      </c>
      <c r="V28">
        <v>28</v>
      </c>
      <c r="W28" t="str">
        <f ca="1" t="shared" si="5"/>
        <v>C1</v>
      </c>
      <c r="X28">
        <f ca="1" t="shared" si="6"/>
        <v>0</v>
      </c>
    </row>
    <row r="29" spans="1:24">
      <c r="A29" t="s">
        <v>40</v>
      </c>
      <c r="B29">
        <v>4</v>
      </c>
      <c r="C29">
        <v>10</v>
      </c>
      <c r="D29">
        <v>56</v>
      </c>
      <c r="E29">
        <v>13</v>
      </c>
      <c r="O29">
        <f ca="1" t="shared" si="3"/>
        <v>6.0448031374408</v>
      </c>
      <c r="P29">
        <f ca="1" t="shared" si="3"/>
        <v>169.802355696262</v>
      </c>
      <c r="Q29">
        <f ca="1" t="shared" si="3"/>
        <v>263.290951230763</v>
      </c>
      <c r="R29">
        <f ca="1" t="shared" si="3"/>
        <v>66.3523318689286</v>
      </c>
      <c r="S29">
        <f ca="1" t="shared" si="3"/>
        <v>129.199821013808</v>
      </c>
      <c r="T29">
        <f ca="1" t="shared" si="3"/>
        <v>214.381741876495</v>
      </c>
      <c r="U29" t="str">
        <f ca="1" t="shared" si="4"/>
        <v>C1</v>
      </c>
      <c r="V29">
        <v>29</v>
      </c>
      <c r="W29" t="str">
        <f ca="1" t="shared" si="5"/>
        <v>C1</v>
      </c>
      <c r="X29">
        <f ca="1" t="shared" si="6"/>
        <v>0</v>
      </c>
    </row>
    <row r="30" spans="1:24">
      <c r="A30" t="s">
        <v>41</v>
      </c>
      <c r="B30">
        <v>11</v>
      </c>
      <c r="C30">
        <v>239</v>
      </c>
      <c r="D30">
        <v>75</v>
      </c>
      <c r="E30">
        <v>43</v>
      </c>
      <c r="O30">
        <f ca="1" t="shared" si="3"/>
        <v>227.190197409168</v>
      </c>
      <c r="P30">
        <f ca="1" t="shared" si="3"/>
        <v>64.6176446491204</v>
      </c>
      <c r="Q30">
        <f ca="1" t="shared" si="3"/>
        <v>39.5995580783422</v>
      </c>
      <c r="R30">
        <f ca="1" t="shared" si="3"/>
        <v>165.703445783256</v>
      </c>
      <c r="S30">
        <f ca="1" t="shared" si="3"/>
        <v>103.789901965461</v>
      </c>
      <c r="T30">
        <f ca="1" t="shared" si="3"/>
        <v>23.4740548265527</v>
      </c>
      <c r="U30" t="str">
        <f ca="1" t="shared" si="4"/>
        <v>C6</v>
      </c>
      <c r="V30">
        <v>30</v>
      </c>
      <c r="W30" t="str">
        <f ca="1" t="shared" si="5"/>
        <v>C6</v>
      </c>
      <c r="X30">
        <f ca="1" t="shared" si="6"/>
        <v>0</v>
      </c>
    </row>
    <row r="31" spans="1:24">
      <c r="A31" t="s">
        <v>42</v>
      </c>
      <c r="B31">
        <v>0</v>
      </c>
      <c r="C31">
        <v>0.1</v>
      </c>
      <c r="D31">
        <v>53</v>
      </c>
      <c r="E31">
        <v>6</v>
      </c>
      <c r="O31">
        <f ca="1" t="shared" si="3"/>
        <v>16.1227631355255</v>
      </c>
      <c r="P31">
        <f ca="1" t="shared" si="3"/>
        <v>180.434392508745</v>
      </c>
      <c r="Q31">
        <f ca="1" t="shared" si="3"/>
        <v>273.83678533024</v>
      </c>
      <c r="R31">
        <f ca="1" t="shared" si="3"/>
        <v>77.3084209154762</v>
      </c>
      <c r="S31">
        <f ca="1" t="shared" si="3"/>
        <v>140.025814584312</v>
      </c>
      <c r="T31">
        <f ca="1" t="shared" si="3"/>
        <v>225.141269539816</v>
      </c>
      <c r="U31" t="str">
        <f ca="1" t="shared" si="4"/>
        <v>C1</v>
      </c>
      <c r="V31">
        <v>31</v>
      </c>
      <c r="W31" t="str">
        <f ca="1" t="shared" si="5"/>
        <v>C1</v>
      </c>
      <c r="X31">
        <f ca="1" t="shared" si="6"/>
        <v>0</v>
      </c>
    </row>
    <row r="32" spans="1:24">
      <c r="A32" t="s">
        <v>43</v>
      </c>
      <c r="B32">
        <v>5</v>
      </c>
      <c r="C32">
        <v>155</v>
      </c>
      <c r="D32">
        <v>87</v>
      </c>
      <c r="E32">
        <v>19</v>
      </c>
      <c r="O32">
        <f ca="1" t="shared" si="3"/>
        <v>143.81548418416</v>
      </c>
      <c r="P32">
        <f ca="1" t="shared" si="3"/>
        <v>35.2510992736397</v>
      </c>
      <c r="Q32">
        <f ca="1" t="shared" si="3"/>
        <v>120.694345352216</v>
      </c>
      <c r="R32">
        <f ca="1" t="shared" si="3"/>
        <v>83.6339162328564</v>
      </c>
      <c r="S32">
        <f ca="1" t="shared" si="3"/>
        <v>23.4167408065256</v>
      </c>
      <c r="T32">
        <f ca="1" t="shared" si="3"/>
        <v>73.5495156340271</v>
      </c>
      <c r="U32" t="str">
        <f ca="1" t="shared" si="4"/>
        <v>C5</v>
      </c>
      <c r="V32">
        <v>32</v>
      </c>
      <c r="W32" t="str">
        <f ca="1" t="shared" si="5"/>
        <v>C5</v>
      </c>
      <c r="X32">
        <f ca="1" t="shared" si="6"/>
        <v>0</v>
      </c>
    </row>
    <row r="33" spans="1:24">
      <c r="A33" t="s">
        <v>44</v>
      </c>
      <c r="B33">
        <v>12</v>
      </c>
      <c r="C33">
        <v>229</v>
      </c>
      <c r="D33">
        <v>64</v>
      </c>
      <c r="E33">
        <v>32</v>
      </c>
      <c r="O33">
        <f ca="1" t="shared" si="3"/>
        <v>215.276318927847</v>
      </c>
      <c r="P33">
        <f ca="1" t="shared" si="3"/>
        <v>50.7783418398041</v>
      </c>
      <c r="Q33">
        <f ca="1" t="shared" si="3"/>
        <v>44.1205734323569</v>
      </c>
      <c r="R33">
        <f ca="1" t="shared" si="3"/>
        <v>153.8136273041</v>
      </c>
      <c r="S33">
        <f ca="1" t="shared" si="3"/>
        <v>92.1471309916918</v>
      </c>
      <c r="T33">
        <f ca="1" t="shared" si="3"/>
        <v>6.20735450896757</v>
      </c>
      <c r="U33" t="str">
        <f ca="1" t="shared" si="4"/>
        <v>C6</v>
      </c>
      <c r="V33">
        <v>33</v>
      </c>
      <c r="W33" t="str">
        <f ca="1" t="shared" si="5"/>
        <v>C6</v>
      </c>
      <c r="X33">
        <f ca="1" t="shared" si="6"/>
        <v>0</v>
      </c>
    </row>
    <row r="34" spans="1:24">
      <c r="A34" t="s">
        <v>45</v>
      </c>
      <c r="B34">
        <v>9</v>
      </c>
      <c r="C34">
        <v>161</v>
      </c>
      <c r="D34">
        <v>85</v>
      </c>
      <c r="E34">
        <v>23</v>
      </c>
      <c r="O34">
        <f ca="1" t="shared" si="3"/>
        <v>149.627027429132</v>
      </c>
      <c r="P34">
        <f ca="1" t="shared" si="3"/>
        <v>29.4794843916918</v>
      </c>
      <c r="Q34">
        <f ca="1" t="shared" si="3"/>
        <v>114.07946791601</v>
      </c>
      <c r="R34">
        <f ca="1" t="shared" si="3"/>
        <v>88.9660906063528</v>
      </c>
      <c r="S34">
        <f ca="1" t="shared" si="3"/>
        <v>27.12644005394</v>
      </c>
      <c r="T34">
        <f ca="1" t="shared" si="3"/>
        <v>66.5960302870974</v>
      </c>
      <c r="U34" t="str">
        <f ca="1" t="shared" si="4"/>
        <v>C5</v>
      </c>
      <c r="V34">
        <v>34</v>
      </c>
      <c r="W34" t="str">
        <f ca="1" t="shared" si="5"/>
        <v>C5</v>
      </c>
      <c r="X34">
        <f ca="1" t="shared" si="6"/>
        <v>0</v>
      </c>
    </row>
    <row r="35" spans="1:24">
      <c r="A35" t="s">
        <v>46</v>
      </c>
      <c r="B35">
        <v>13</v>
      </c>
      <c r="C35">
        <v>321</v>
      </c>
      <c r="D35">
        <v>45</v>
      </c>
      <c r="E35">
        <v>13</v>
      </c>
      <c r="O35">
        <f ca="1" t="shared" si="3"/>
        <v>306.157025495668</v>
      </c>
      <c r="P35">
        <f ca="1" t="shared" si="3"/>
        <v>142.949781391928</v>
      </c>
      <c r="Q35">
        <f ca="1" t="shared" si="3"/>
        <v>53.0860151075592</v>
      </c>
      <c r="R35">
        <f ca="1" t="shared" si="3"/>
        <v>245.52928938203</v>
      </c>
      <c r="S35">
        <f ca="1" t="shared" si="3"/>
        <v>184.890085591413</v>
      </c>
      <c r="T35">
        <f ca="1" t="shared" si="3"/>
        <v>100.657991486022</v>
      </c>
      <c r="U35" t="str">
        <f ca="1" t="shared" si="4"/>
        <v>C3</v>
      </c>
      <c r="V35">
        <v>35</v>
      </c>
      <c r="W35" t="str">
        <f ca="1" t="shared" si="5"/>
        <v>C3</v>
      </c>
      <c r="X35">
        <f ca="1" t="shared" si="6"/>
        <v>0</v>
      </c>
    </row>
    <row r="36" spans="1:24">
      <c r="A36" t="s">
        <v>47</v>
      </c>
      <c r="B36">
        <v>0.1</v>
      </c>
      <c r="C36">
        <v>27</v>
      </c>
      <c r="D36">
        <v>44</v>
      </c>
      <c r="E36">
        <v>6</v>
      </c>
      <c r="O36">
        <f ca="1" t="shared" si="3"/>
        <v>16.6583436812062</v>
      </c>
      <c r="P36">
        <f ca="1" t="shared" si="3"/>
        <v>154.515662636511</v>
      </c>
      <c r="Q36">
        <f ca="1" t="shared" si="3"/>
        <v>247.570767660481</v>
      </c>
      <c r="R36">
        <f ca="1" t="shared" si="3"/>
        <v>52.9753899886017</v>
      </c>
      <c r="S36">
        <f ca="1" t="shared" si="3"/>
        <v>115.362705195397</v>
      </c>
      <c r="T36">
        <f ca="1" t="shared" si="3"/>
        <v>199.134417542523</v>
      </c>
      <c r="U36" t="str">
        <f ca="1" t="shared" si="4"/>
        <v>C1</v>
      </c>
      <c r="V36">
        <v>36</v>
      </c>
      <c r="W36" t="str">
        <f ca="1" t="shared" si="5"/>
        <v>C1</v>
      </c>
      <c r="X36">
        <f ca="1" t="shared" si="6"/>
        <v>0</v>
      </c>
    </row>
    <row r="37" spans="1:24">
      <c r="A37" t="s">
        <v>48</v>
      </c>
      <c r="B37">
        <v>8</v>
      </c>
      <c r="C37">
        <v>119</v>
      </c>
      <c r="D37">
        <v>73</v>
      </c>
      <c r="E37">
        <v>18</v>
      </c>
      <c r="O37">
        <f ca="1" t="shared" si="3"/>
        <v>105.858837567415</v>
      </c>
      <c r="P37">
        <f ca="1" t="shared" si="3"/>
        <v>61.5161767342542</v>
      </c>
      <c r="Q37">
        <f ca="1" t="shared" si="3"/>
        <v>154.387904318959</v>
      </c>
      <c r="R37">
        <f ca="1" t="shared" si="3"/>
        <v>45.1696647221463</v>
      </c>
      <c r="S37">
        <f ca="1" t="shared" si="3"/>
        <v>19.2637937592781</v>
      </c>
      <c r="T37">
        <f ca="1" t="shared" si="3"/>
        <v>105.670626240219</v>
      </c>
      <c r="U37" t="str">
        <f ca="1" t="shared" si="4"/>
        <v>C5</v>
      </c>
      <c r="V37">
        <v>37</v>
      </c>
      <c r="W37" t="str">
        <f ca="1" t="shared" si="5"/>
        <v>C5</v>
      </c>
      <c r="X37">
        <f ca="1" t="shared" si="6"/>
        <v>0</v>
      </c>
    </row>
    <row r="38" spans="1:24">
      <c r="A38" t="s">
        <v>49</v>
      </c>
      <c r="B38">
        <v>4</v>
      </c>
      <c r="C38">
        <v>116</v>
      </c>
      <c r="D38">
        <v>59</v>
      </c>
      <c r="E38">
        <v>20</v>
      </c>
      <c r="O38">
        <f ca="1" t="shared" si="3"/>
        <v>101.331222079117</v>
      </c>
      <c r="P38">
        <f ca="1" t="shared" si="3"/>
        <v>63.6776255838737</v>
      </c>
      <c r="Q38">
        <f ca="1" t="shared" si="3"/>
        <v>157.115005648729</v>
      </c>
      <c r="R38">
        <f ca="1" t="shared" si="3"/>
        <v>39.9766424858872</v>
      </c>
      <c r="S38">
        <f ca="1" t="shared" si="3"/>
        <v>25.4625951151881</v>
      </c>
      <c r="T38">
        <f ca="1" t="shared" si="3"/>
        <v>108.216363134232</v>
      </c>
      <c r="U38" t="str">
        <f ca="1" t="shared" si="4"/>
        <v>C5</v>
      </c>
      <c r="V38">
        <v>38</v>
      </c>
      <c r="W38" t="str">
        <f ca="1" t="shared" si="5"/>
        <v>C5</v>
      </c>
      <c r="X38">
        <f ca="1" t="shared" si="6"/>
        <v>0</v>
      </c>
    </row>
    <row r="39" spans="1:24">
      <c r="A39" t="s">
        <v>50</v>
      </c>
      <c r="B39">
        <v>4</v>
      </c>
      <c r="C39">
        <v>103</v>
      </c>
      <c r="D39">
        <v>58</v>
      </c>
      <c r="E39">
        <v>29</v>
      </c>
      <c r="O39">
        <f ca="1" t="shared" si="3"/>
        <v>89.7173404834982</v>
      </c>
      <c r="P39">
        <f ca="1" t="shared" si="3"/>
        <v>76.9924671640025</v>
      </c>
      <c r="Q39">
        <f ca="1" t="shared" si="3"/>
        <v>170.004779344582</v>
      </c>
      <c r="R39">
        <f ca="1" t="shared" si="3"/>
        <v>29.1455876210753</v>
      </c>
      <c r="S39">
        <f ca="1" t="shared" si="3"/>
        <v>38.9145698935502</v>
      </c>
      <c r="T39">
        <f ca="1" t="shared" si="3"/>
        <v>120.768502723185</v>
      </c>
      <c r="U39" t="str">
        <f ca="1" t="shared" si="4"/>
        <v>C4</v>
      </c>
      <c r="V39">
        <v>39</v>
      </c>
      <c r="W39" t="str">
        <f ca="1" t="shared" si="5"/>
        <v>C4</v>
      </c>
      <c r="X39">
        <f ca="1" t="shared" si="6"/>
        <v>0</v>
      </c>
    </row>
    <row r="40" spans="1:24">
      <c r="A40" t="s">
        <v>51</v>
      </c>
      <c r="B40">
        <v>4</v>
      </c>
      <c r="C40">
        <v>57</v>
      </c>
      <c r="D40">
        <v>67</v>
      </c>
      <c r="E40">
        <v>13</v>
      </c>
      <c r="O40">
        <f ca="1" t="shared" si="3"/>
        <v>43.7575623219008</v>
      </c>
      <c r="P40">
        <f ca="1" t="shared" si="3"/>
        <v>122.911512886304</v>
      </c>
      <c r="Q40">
        <f ca="1" t="shared" si="3"/>
        <v>216.357632174139</v>
      </c>
      <c r="R40">
        <f ca="1" t="shared" si="3"/>
        <v>21.1533750918802</v>
      </c>
      <c r="S40">
        <f ca="1" t="shared" si="3"/>
        <v>81.5404424196975</v>
      </c>
      <c r="T40">
        <f ca="1" t="shared" si="3"/>
        <v>167.522479834797</v>
      </c>
      <c r="U40" t="str">
        <f ca="1" t="shared" si="4"/>
        <v>C4</v>
      </c>
      <c r="V40">
        <v>40</v>
      </c>
      <c r="W40" t="str">
        <f ca="1" t="shared" si="5"/>
        <v>C4</v>
      </c>
      <c r="X40">
        <f ca="1" t="shared" si="6"/>
        <v>0</v>
      </c>
    </row>
    <row r="41" spans="1:24">
      <c r="A41" t="s">
        <v>52</v>
      </c>
      <c r="B41">
        <v>2</v>
      </c>
      <c r="C41">
        <v>97</v>
      </c>
      <c r="D41">
        <v>83</v>
      </c>
      <c r="E41">
        <v>5</v>
      </c>
      <c r="O41">
        <f ca="1" t="shared" si="3"/>
        <v>86.8881754301804</v>
      </c>
      <c r="P41">
        <f ca="1" t="shared" si="3"/>
        <v>86.9438899520835</v>
      </c>
      <c r="Q41">
        <f ca="1" t="shared" si="3"/>
        <v>178.509453531179</v>
      </c>
      <c r="R41">
        <f ca="1" t="shared" si="3"/>
        <v>34.2218051020756</v>
      </c>
      <c r="S41">
        <f ca="1" t="shared" si="3"/>
        <v>45.4735500043707</v>
      </c>
      <c r="T41">
        <f ca="1" t="shared" si="3"/>
        <v>130.722152866299</v>
      </c>
      <c r="U41" t="str">
        <f ca="1" t="shared" si="4"/>
        <v>C4</v>
      </c>
      <c r="V41">
        <v>41</v>
      </c>
      <c r="W41" t="str">
        <f ca="1" t="shared" si="5"/>
        <v>C4</v>
      </c>
      <c r="X41">
        <f ca="1" t="shared" si="6"/>
        <v>0</v>
      </c>
    </row>
    <row r="42" spans="1:24">
      <c r="A42" t="s">
        <v>53</v>
      </c>
      <c r="B42">
        <v>13</v>
      </c>
      <c r="C42">
        <v>210</v>
      </c>
      <c r="D42">
        <v>46</v>
      </c>
      <c r="E42">
        <v>21</v>
      </c>
      <c r="O42">
        <f ca="1" t="shared" si="3"/>
        <v>195.548226470453</v>
      </c>
      <c r="P42">
        <f ca="1" t="shared" si="3"/>
        <v>34.7942523989236</v>
      </c>
      <c r="Q42">
        <f ca="1" t="shared" si="3"/>
        <v>65.127759058638</v>
      </c>
      <c r="R42">
        <f ca="1" t="shared" si="3"/>
        <v>134.876975837654</v>
      </c>
      <c r="S42">
        <f ca="1" t="shared" si="3"/>
        <v>76.302645760157</v>
      </c>
      <c r="T42">
        <f ca="1" t="shared" si="3"/>
        <v>23.765126761707</v>
      </c>
      <c r="U42" t="str">
        <f ca="1" t="shared" si="4"/>
        <v>C6</v>
      </c>
      <c r="V42">
        <v>42</v>
      </c>
      <c r="W42" t="str">
        <f ca="1" t="shared" si="5"/>
        <v>C6</v>
      </c>
      <c r="X42">
        <f ca="1" t="shared" si="6"/>
        <v>0</v>
      </c>
    </row>
    <row r="43" spans="1:24">
      <c r="A43" t="s">
        <v>54</v>
      </c>
      <c r="B43">
        <v>3</v>
      </c>
      <c r="C43">
        <v>1</v>
      </c>
      <c r="D43">
        <v>43</v>
      </c>
      <c r="E43">
        <v>12</v>
      </c>
      <c r="O43">
        <f ca="1" t="shared" si="3"/>
        <v>18.2306069450745</v>
      </c>
      <c r="P43">
        <f ca="1" t="shared" si="3"/>
        <v>179.769964120817</v>
      </c>
      <c r="Q43">
        <f ca="1" t="shared" si="3"/>
        <v>272.974586729241</v>
      </c>
      <c r="R43">
        <f ca="1" t="shared" si="3"/>
        <v>77.0830630625892</v>
      </c>
      <c r="S43">
        <f ca="1" t="shared" si="3"/>
        <v>140.216239252092</v>
      </c>
      <c r="T43">
        <f ca="1" t="shared" si="3"/>
        <v>224.245470968758</v>
      </c>
      <c r="U43" t="str">
        <f ca="1" t="shared" si="4"/>
        <v>C1</v>
      </c>
      <c r="V43">
        <v>43</v>
      </c>
      <c r="W43" t="str">
        <f ca="1" t="shared" si="5"/>
        <v>C1</v>
      </c>
      <c r="X43">
        <f ca="1" t="shared" si="6"/>
        <v>0</v>
      </c>
    </row>
    <row r="44" spans="1:24">
      <c r="A44" t="s">
        <v>55</v>
      </c>
      <c r="B44">
        <v>14</v>
      </c>
      <c r="C44">
        <v>96</v>
      </c>
      <c r="D44">
        <v>58</v>
      </c>
      <c r="E44">
        <v>27</v>
      </c>
      <c r="O44">
        <f ca="1" t="shared" si="3"/>
        <v>83.292910116886</v>
      </c>
      <c r="P44">
        <f ca="1" t="shared" si="3"/>
        <v>83.819090904161</v>
      </c>
      <c r="Q44">
        <f ca="1" t="shared" si="3"/>
        <v>176.822297802059</v>
      </c>
      <c r="R44">
        <f ca="1" t="shared" si="3"/>
        <v>23.8669634525309</v>
      </c>
      <c r="S44">
        <f ca="1" t="shared" si="3"/>
        <v>45.2171842334305</v>
      </c>
      <c r="T44">
        <f ca="1" t="shared" si="3"/>
        <v>127.697029135372</v>
      </c>
      <c r="U44" t="str">
        <f ca="1" t="shared" si="4"/>
        <v>C4</v>
      </c>
      <c r="V44">
        <v>44</v>
      </c>
      <c r="W44" t="str">
        <f ca="1" t="shared" si="5"/>
        <v>C4</v>
      </c>
      <c r="X44">
        <f ca="1" t="shared" si="6"/>
        <v>0</v>
      </c>
    </row>
    <row r="45" spans="1:24">
      <c r="A45" t="s">
        <v>56</v>
      </c>
      <c r="B45">
        <v>13</v>
      </c>
      <c r="C45">
        <v>137</v>
      </c>
      <c r="D45">
        <v>79</v>
      </c>
      <c r="E45">
        <v>25</v>
      </c>
      <c r="O45">
        <f ca="1" t="shared" si="3"/>
        <v>125.523156118278</v>
      </c>
      <c r="P45">
        <f ca="1" t="shared" si="3"/>
        <v>45.9852150152633</v>
      </c>
      <c r="Q45">
        <f ca="1" t="shared" si="3"/>
        <v>136.763024973858</v>
      </c>
      <c r="R45">
        <f ca="1" t="shared" si="3"/>
        <v>64.9509964853846</v>
      </c>
      <c r="S45">
        <f ca="1" t="shared" si="3"/>
        <v>11.2846688032924</v>
      </c>
      <c r="T45">
        <f ca="1" t="shared" si="3"/>
        <v>88.1335988712591</v>
      </c>
      <c r="U45" t="str">
        <f ca="1" t="shared" si="4"/>
        <v>C5</v>
      </c>
      <c r="V45">
        <v>45</v>
      </c>
      <c r="W45" t="str">
        <f ca="1" t="shared" si="5"/>
        <v>C5</v>
      </c>
      <c r="X45">
        <f ca="1" t="shared" si="6"/>
        <v>0</v>
      </c>
    </row>
    <row r="46" spans="1:24">
      <c r="A46" t="s">
        <v>57</v>
      </c>
      <c r="B46">
        <v>0</v>
      </c>
      <c r="C46">
        <v>49</v>
      </c>
      <c r="D46">
        <v>74</v>
      </c>
      <c r="E46">
        <v>21</v>
      </c>
      <c r="O46">
        <f ca="1" t="shared" si="3"/>
        <v>40.3907980615305</v>
      </c>
      <c r="P46">
        <f ca="1" t="shared" si="3"/>
        <v>131.248771422821</v>
      </c>
      <c r="Q46">
        <f ca="1" t="shared" si="3"/>
        <v>224.4206429899</v>
      </c>
      <c r="R46">
        <f ca="1" t="shared" si="3"/>
        <v>31.2910841046526</v>
      </c>
      <c r="S46">
        <f ca="1" t="shared" si="3"/>
        <v>89.5312445462476</v>
      </c>
      <c r="T46">
        <f ca="1" t="shared" si="3"/>
        <v>175.362570835398</v>
      </c>
      <c r="U46" t="str">
        <f ca="1" t="shared" si="4"/>
        <v>C4</v>
      </c>
      <c r="V46">
        <v>46</v>
      </c>
      <c r="W46" t="str">
        <f ca="1" t="shared" si="5"/>
        <v>C4</v>
      </c>
      <c r="X46">
        <f ca="1" t="shared" si="6"/>
        <v>0</v>
      </c>
    </row>
    <row r="47" spans="1:24">
      <c r="A47" t="s">
        <v>58</v>
      </c>
      <c r="B47">
        <v>0.1</v>
      </c>
      <c r="C47">
        <v>44</v>
      </c>
      <c r="D47">
        <v>24</v>
      </c>
      <c r="E47">
        <v>8</v>
      </c>
      <c r="O47">
        <f ca="1" t="shared" si="3"/>
        <v>42.0392722843912</v>
      </c>
      <c r="P47">
        <f ca="1" t="shared" si="3"/>
        <v>141.574326768662</v>
      </c>
      <c r="Q47">
        <f ca="1" t="shared" si="3"/>
        <v>232.995246732632</v>
      </c>
      <c r="R47">
        <f ca="1" t="shared" si="3"/>
        <v>48.9512540981105</v>
      </c>
      <c r="S47">
        <f ca="1" t="shared" si="3"/>
        <v>106.069806024146</v>
      </c>
      <c r="T47">
        <f ca="1" t="shared" si="3"/>
        <v>185.298451828395</v>
      </c>
      <c r="U47" t="str">
        <f ca="1" t="shared" si="4"/>
        <v>C1</v>
      </c>
      <c r="V47">
        <v>47</v>
      </c>
      <c r="W47" t="str">
        <f ca="1" t="shared" si="5"/>
        <v>C1</v>
      </c>
      <c r="X47">
        <f ca="1" t="shared" si="6"/>
        <v>0</v>
      </c>
    </row>
    <row r="48" spans="1:24">
      <c r="A48" t="s">
        <v>59</v>
      </c>
      <c r="B48">
        <v>7</v>
      </c>
      <c r="C48">
        <v>100</v>
      </c>
      <c r="D48">
        <v>58</v>
      </c>
      <c r="E48">
        <v>16</v>
      </c>
      <c r="O48">
        <f ca="1" t="shared" si="3"/>
        <v>85.1721403460325</v>
      </c>
      <c r="P48">
        <f ca="1" t="shared" si="3"/>
        <v>79.7323021115031</v>
      </c>
      <c r="Q48">
        <f ca="1" t="shared" si="3"/>
        <v>173.192450759264</v>
      </c>
      <c r="R48">
        <f ca="1" t="shared" si="3"/>
        <v>24.1515757479944</v>
      </c>
      <c r="S48">
        <f ca="1" t="shared" si="3"/>
        <v>40.408461366402</v>
      </c>
      <c r="T48">
        <f ca="1" t="shared" si="3"/>
        <v>124.435851947901</v>
      </c>
      <c r="U48" t="str">
        <f ca="1" t="shared" si="4"/>
        <v>C4</v>
      </c>
      <c r="V48">
        <v>48</v>
      </c>
      <c r="W48" t="str">
        <f ca="1" t="shared" si="5"/>
        <v>C4</v>
      </c>
      <c r="X48">
        <f ca="1" t="shared" si="6"/>
        <v>0</v>
      </c>
    </row>
    <row r="49" spans="1:24">
      <c r="A49" t="s">
        <v>60</v>
      </c>
      <c r="B49">
        <v>1</v>
      </c>
      <c r="C49">
        <v>62</v>
      </c>
      <c r="D49">
        <v>73</v>
      </c>
      <c r="E49">
        <v>24</v>
      </c>
      <c r="O49">
        <f ca="1" t="shared" si="3"/>
        <v>52.0248575088541</v>
      </c>
      <c r="P49">
        <f ca="1" t="shared" si="3"/>
        <v>118.19238554154</v>
      </c>
      <c r="Q49">
        <f ca="1" t="shared" si="3"/>
        <v>211.299846190195</v>
      </c>
      <c r="R49">
        <f ca="1" t="shared" si="3"/>
        <v>20.8558211964376</v>
      </c>
      <c r="S49">
        <f ca="1" t="shared" si="3"/>
        <v>76.6051156907944</v>
      </c>
      <c r="T49">
        <f ca="1" t="shared" si="3"/>
        <v>162.169760590561</v>
      </c>
      <c r="U49" t="str">
        <f ca="1" t="shared" si="4"/>
        <v>C4</v>
      </c>
      <c r="V49">
        <v>49</v>
      </c>
      <c r="W49" t="str">
        <f ca="1" t="shared" si="5"/>
        <v>C4</v>
      </c>
      <c r="X49">
        <f ca="1" t="shared" si="6"/>
        <v>0</v>
      </c>
    </row>
    <row r="50" spans="1:24">
      <c r="A50" t="s">
        <v>61</v>
      </c>
      <c r="B50">
        <v>5</v>
      </c>
      <c r="C50">
        <v>65</v>
      </c>
      <c r="D50">
        <v>34</v>
      </c>
      <c r="E50">
        <v>9</v>
      </c>
      <c r="O50">
        <f ca="1" t="shared" si="3"/>
        <v>53.9391504629311</v>
      </c>
      <c r="P50">
        <f ca="1" t="shared" si="3"/>
        <v>118.531177333223</v>
      </c>
      <c r="Q50">
        <f ca="1" t="shared" si="3"/>
        <v>210.532954665059</v>
      </c>
      <c r="R50">
        <f ca="1" t="shared" si="3"/>
        <v>29.056816947338</v>
      </c>
      <c r="S50">
        <f ca="1" t="shared" si="3"/>
        <v>82.6216905539944</v>
      </c>
      <c r="T50">
        <f ca="1" t="shared" si="3"/>
        <v>162.596990285798</v>
      </c>
      <c r="U50" t="str">
        <f ca="1" t="shared" si="4"/>
        <v>C4</v>
      </c>
      <c r="V50">
        <v>50</v>
      </c>
      <c r="W50" t="str">
        <f ca="1" t="shared" si="5"/>
        <v>C4</v>
      </c>
      <c r="X50">
        <f ca="1" t="shared" si="6"/>
        <v>0</v>
      </c>
    </row>
    <row r="51" spans="1:24">
      <c r="A51" t="s">
        <v>62</v>
      </c>
      <c r="B51">
        <v>0</v>
      </c>
      <c r="C51">
        <v>0.1</v>
      </c>
      <c r="D51">
        <v>60</v>
      </c>
      <c r="E51">
        <v>11</v>
      </c>
      <c r="O51">
        <f ca="1" t="shared" si="3"/>
        <v>16.2416022907352</v>
      </c>
      <c r="P51">
        <f ca="1" t="shared" si="3"/>
        <v>179.851522095311</v>
      </c>
      <c r="Q51">
        <f ca="1" t="shared" si="3"/>
        <v>273.354321348685</v>
      </c>
      <c r="R51">
        <f ca="1" t="shared" si="3"/>
        <v>76.4379396053498</v>
      </c>
      <c r="S51">
        <f ca="1" t="shared" si="3"/>
        <v>138.917165066093</v>
      </c>
      <c r="T51">
        <f ca="1" t="shared" si="3"/>
        <v>224.45676922294</v>
      </c>
      <c r="U51" t="str">
        <f ca="1" t="shared" si="4"/>
        <v>C1</v>
      </c>
      <c r="V51">
        <v>51</v>
      </c>
      <c r="W51" t="str">
        <f ca="1" t="shared" si="5"/>
        <v>C1</v>
      </c>
      <c r="X51">
        <f ca="1" t="shared" si="6"/>
        <v>0</v>
      </c>
    </row>
    <row r="52" spans="1:24">
      <c r="A52" t="s">
        <v>63</v>
      </c>
      <c r="B52">
        <v>6</v>
      </c>
      <c r="C52">
        <v>143</v>
      </c>
      <c r="D52">
        <v>51</v>
      </c>
      <c r="E52">
        <v>11</v>
      </c>
      <c r="O52">
        <f ca="1" t="shared" si="3"/>
        <v>127.917586264515</v>
      </c>
      <c r="P52">
        <f ca="1" t="shared" si="3"/>
        <v>39.6287774224742</v>
      </c>
      <c r="Q52">
        <f ca="1" t="shared" si="3"/>
        <v>131.303560500087</v>
      </c>
      <c r="R52">
        <f ca="1" t="shared" si="3"/>
        <v>67.8021529484459</v>
      </c>
      <c r="S52">
        <f ca="1" t="shared" si="3"/>
        <v>22.2000844592988</v>
      </c>
      <c r="T52">
        <f ca="1" t="shared" si="3"/>
        <v>83.6975582081102</v>
      </c>
      <c r="U52" t="str">
        <f ca="1" t="shared" si="4"/>
        <v>C5</v>
      </c>
      <c r="V52">
        <v>52</v>
      </c>
      <c r="W52" t="str">
        <f ca="1" t="shared" si="5"/>
        <v>C5</v>
      </c>
      <c r="X52">
        <f ca="1" t="shared" si="6"/>
        <v>0</v>
      </c>
    </row>
  </sheetData>
  <mergeCells count="2">
    <mergeCell ref="G1:K1"/>
    <mergeCell ref="O1:R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T21" sqref="T21"/>
    </sheetView>
  </sheetViews>
  <sheetFormatPr defaultColWidth="9" defaultRowHeight="15"/>
  <cols>
    <col min="2" max="2" width="9.28571428571429" customWidth="1"/>
    <col min="3" max="3" width="9.57142857142857" customWidth="1"/>
    <col min="4" max="5" width="9.28571428571429" customWidth="1"/>
  </cols>
  <sheetData>
    <row r="1" spans="1:11">
      <c r="A1" t="s">
        <v>7</v>
      </c>
      <c r="B1" t="s">
        <v>3</v>
      </c>
      <c r="C1" t="s">
        <v>4</v>
      </c>
      <c r="D1" t="s">
        <v>5</v>
      </c>
      <c r="E1" t="s">
        <v>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6">
      <c r="A2" t="s">
        <v>8</v>
      </c>
      <c r="B2" s="2">
        <v>2.16923076923077</v>
      </c>
      <c r="C2" s="2">
        <v>15.1846153846154</v>
      </c>
      <c r="D2" s="2">
        <v>54.3846153846154</v>
      </c>
      <c r="E2" s="2">
        <v>11.0769230769231</v>
      </c>
      <c r="F2">
        <v>11</v>
      </c>
    </row>
    <row r="3" spans="1:6">
      <c r="A3" t="s">
        <v>9</v>
      </c>
      <c r="B3" s="2">
        <v>8.8</v>
      </c>
      <c r="C3" s="2">
        <v>179.4</v>
      </c>
      <c r="D3" s="2">
        <v>62</v>
      </c>
      <c r="E3" s="2">
        <v>21.8</v>
      </c>
      <c r="F3">
        <v>12</v>
      </c>
    </row>
    <row r="4" spans="1:6">
      <c r="A4" t="s">
        <v>10</v>
      </c>
      <c r="B4" s="2">
        <v>11.75</v>
      </c>
      <c r="C4" s="2">
        <v>272.75</v>
      </c>
      <c r="D4" s="2">
        <v>62.5</v>
      </c>
      <c r="E4" s="2">
        <v>26.5</v>
      </c>
      <c r="F4">
        <v>13</v>
      </c>
    </row>
    <row r="5" spans="1:6">
      <c r="A5" t="s">
        <v>11</v>
      </c>
      <c r="B5" s="2">
        <v>4.58333333333333</v>
      </c>
      <c r="C5" s="2">
        <v>76.0833333333333</v>
      </c>
      <c r="D5" s="2">
        <v>59.3333333333333</v>
      </c>
      <c r="E5" s="2">
        <v>17.9166666666667</v>
      </c>
      <c r="F5">
        <v>14</v>
      </c>
    </row>
    <row r="6" spans="1:6">
      <c r="A6" t="s">
        <v>12</v>
      </c>
      <c r="B6" s="2">
        <v>7.75</v>
      </c>
      <c r="C6" s="2">
        <v>138.125</v>
      </c>
      <c r="D6" s="2">
        <v>71</v>
      </c>
      <c r="E6" s="2">
        <v>19.125</v>
      </c>
      <c r="F6">
        <v>15</v>
      </c>
    </row>
    <row r="7" spans="1:6">
      <c r="A7" t="s">
        <v>13</v>
      </c>
      <c r="B7" s="2">
        <v>10.125</v>
      </c>
      <c r="C7" s="2">
        <v>223.5</v>
      </c>
      <c r="D7" s="2">
        <v>63.125</v>
      </c>
      <c r="E7" s="2">
        <v>30</v>
      </c>
      <c r="F7">
        <v>16</v>
      </c>
    </row>
    <row r="9" spans="2:7">
      <c r="B9">
        <v>1</v>
      </c>
      <c r="C9">
        <v>2</v>
      </c>
      <c r="D9">
        <v>3</v>
      </c>
      <c r="E9">
        <v>4</v>
      </c>
      <c r="F9">
        <v>5</v>
      </c>
      <c r="G9">
        <v>6</v>
      </c>
    </row>
    <row r="10" spans="1:8">
      <c r="A10">
        <v>1</v>
      </c>
      <c r="B10">
        <f>IFERROR(IF($A10=B$9,1000000,SQRT(SUMXMY2($B2:$E2,INDEX($B$2:$E$7,B$9,0)))),1000000)</f>
        <v>1000000</v>
      </c>
      <c r="C10">
        <f t="shared" ref="C10:G10" si="0">IFERROR(IF($A10=C$9,1000000,SQRT(SUMXMY2($B2:$E2,INDEX($B$2:$E$7,C$9,0)))),1000000)</f>
        <v>164.874613286912</v>
      </c>
      <c r="D10">
        <f t="shared" si="0"/>
        <v>258.332052328694</v>
      </c>
      <c r="E10">
        <f t="shared" si="0"/>
        <v>61.528478290113</v>
      </c>
      <c r="F10">
        <f t="shared" si="0"/>
        <v>124.444066562704</v>
      </c>
      <c r="G10">
        <f t="shared" si="0"/>
        <v>209.506732338057</v>
      </c>
      <c r="H10" t="e">
        <f>MATCH(MIN(B$10:G$15),B10:G10,0)</f>
        <v>#N/A</v>
      </c>
    </row>
    <row r="11" spans="1:13">
      <c r="A11">
        <v>2</v>
      </c>
      <c r="B11">
        <f t="shared" ref="B11:G15" si="1">IFERROR(IF($A11=B$9,1000000,SQRT(SUMXMY2($B3:$E3,INDEX($B$2:$E$7,B$9,0)))),1000000)</f>
        <v>164.874613286912</v>
      </c>
      <c r="C11">
        <f t="shared" si="1"/>
        <v>1000000</v>
      </c>
      <c r="D11">
        <f t="shared" si="1"/>
        <v>93.51612160478</v>
      </c>
      <c r="E11">
        <f t="shared" si="1"/>
        <v>103.509928401955</v>
      </c>
      <c r="F11">
        <f t="shared" si="1"/>
        <v>42.3424580061196</v>
      </c>
      <c r="G11">
        <f t="shared" si="1"/>
        <v>44.8895449965802</v>
      </c>
      <c r="H11">
        <f t="shared" ref="H11:H15" si="2">MATCH(MIN(B$10:G$15),B11:G11,0)</f>
        <v>5</v>
      </c>
      <c r="J11" s="2">
        <f>AVERAGE(B3,B6)</f>
        <v>8.275</v>
      </c>
      <c r="K11" s="2">
        <f t="shared" ref="K11:M11" si="3">AVERAGE(C3,C6)</f>
        <v>158.7625</v>
      </c>
      <c r="L11" s="2">
        <f t="shared" si="3"/>
        <v>66.5</v>
      </c>
      <c r="M11" s="2">
        <f t="shared" si="3"/>
        <v>20.4625</v>
      </c>
    </row>
    <row r="12" spans="1:13">
      <c r="A12">
        <v>3</v>
      </c>
      <c r="B12">
        <f t="shared" si="1"/>
        <v>258.332052328694</v>
      </c>
      <c r="C12">
        <f t="shared" si="1"/>
        <v>93.51612160478</v>
      </c>
      <c r="D12">
        <f t="shared" si="1"/>
        <v>1000000</v>
      </c>
      <c r="E12">
        <f t="shared" si="1"/>
        <v>197.009746656803</v>
      </c>
      <c r="F12">
        <f t="shared" si="1"/>
        <v>135.153731912959</v>
      </c>
      <c r="G12">
        <f t="shared" si="1"/>
        <v>49.4048960124399</v>
      </c>
      <c r="H12" t="e">
        <f t="shared" si="2"/>
        <v>#N/A</v>
      </c>
      <c r="J12" s="2">
        <v>8.275</v>
      </c>
      <c r="K12" s="2">
        <v>158.7625</v>
      </c>
      <c r="L12" s="2">
        <v>66.5</v>
      </c>
      <c r="M12" s="2">
        <v>20.4625</v>
      </c>
    </row>
    <row r="13" spans="1:8">
      <c r="A13">
        <v>4</v>
      </c>
      <c r="B13">
        <f t="shared" si="1"/>
        <v>61.528478290113</v>
      </c>
      <c r="C13">
        <f t="shared" si="1"/>
        <v>103.509928401955</v>
      </c>
      <c r="D13">
        <f t="shared" si="1"/>
        <v>197.009746656803</v>
      </c>
      <c r="E13">
        <f t="shared" si="1"/>
        <v>1000000</v>
      </c>
      <c r="F13">
        <f t="shared" si="1"/>
        <v>63.2199917835419</v>
      </c>
      <c r="G13">
        <f t="shared" si="1"/>
        <v>148.063389671826</v>
      </c>
      <c r="H13" t="e">
        <f t="shared" si="2"/>
        <v>#N/A</v>
      </c>
    </row>
    <row r="14" spans="1:8">
      <c r="A14">
        <v>5</v>
      </c>
      <c r="B14">
        <f t="shared" si="1"/>
        <v>124.444066562704</v>
      </c>
      <c r="C14">
        <f t="shared" si="1"/>
        <v>42.3424580061196</v>
      </c>
      <c r="D14">
        <f t="shared" si="1"/>
        <v>135.153731912959</v>
      </c>
      <c r="E14">
        <f t="shared" si="1"/>
        <v>63.2199917835419</v>
      </c>
      <c r="F14">
        <f t="shared" si="1"/>
        <v>1000000</v>
      </c>
      <c r="G14">
        <f t="shared" si="1"/>
        <v>86.4569979816556</v>
      </c>
      <c r="H14">
        <f t="shared" si="2"/>
        <v>2</v>
      </c>
    </row>
    <row r="15" spans="1:8">
      <c r="A15">
        <v>6</v>
      </c>
      <c r="B15">
        <f t="shared" si="1"/>
        <v>209.506732338057</v>
      </c>
      <c r="C15">
        <f t="shared" si="1"/>
        <v>44.8895449965802</v>
      </c>
      <c r="D15">
        <f t="shared" si="1"/>
        <v>49.4048960124399</v>
      </c>
      <c r="E15">
        <f t="shared" si="1"/>
        <v>148.063389671826</v>
      </c>
      <c r="F15">
        <f t="shared" si="1"/>
        <v>86.4569979816556</v>
      </c>
      <c r="G15">
        <f t="shared" si="1"/>
        <v>1000000</v>
      </c>
      <c r="H15" t="e">
        <f t="shared" si="2"/>
        <v>#N/A</v>
      </c>
    </row>
    <row r="25" ht="15.75" spans="7:14">
      <c r="G25" s="4"/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4"/>
    </row>
    <row r="26" spans="7:14">
      <c r="G26" s="4"/>
      <c r="H26" s="4" t="s">
        <v>20</v>
      </c>
      <c r="I26" s="4" t="s">
        <v>14</v>
      </c>
      <c r="J26" s="4" t="s">
        <v>22</v>
      </c>
      <c r="K26" s="4" t="s">
        <v>25</v>
      </c>
      <c r="L26" s="4" t="s">
        <v>23</v>
      </c>
      <c r="M26" s="4" t="s">
        <v>15</v>
      </c>
      <c r="N26" s="4"/>
    </row>
    <row r="27" spans="7:14">
      <c r="G27" s="4"/>
      <c r="H27" s="4" t="s">
        <v>24</v>
      </c>
      <c r="I27" s="4" t="s">
        <v>17</v>
      </c>
      <c r="J27" s="4" t="s">
        <v>33</v>
      </c>
      <c r="K27" s="4" t="s">
        <v>29</v>
      </c>
      <c r="L27" s="4" t="s">
        <v>34</v>
      </c>
      <c r="M27" s="4" t="s">
        <v>16</v>
      </c>
      <c r="N27" s="4"/>
    </row>
    <row r="28" spans="7:14">
      <c r="G28" s="4"/>
      <c r="H28" s="4" t="s">
        <v>27</v>
      </c>
      <c r="I28" s="4" t="s">
        <v>19</v>
      </c>
      <c r="J28" s="4" t="s">
        <v>35</v>
      </c>
      <c r="K28" s="4" t="s">
        <v>30</v>
      </c>
      <c r="L28" s="4" t="s">
        <v>43</v>
      </c>
      <c r="M28" s="4" t="s">
        <v>18</v>
      </c>
      <c r="N28" s="4"/>
    </row>
    <row r="29" spans="7:14">
      <c r="G29" s="4"/>
      <c r="H29" s="4" t="s">
        <v>28</v>
      </c>
      <c r="I29" s="4" t="s">
        <v>21</v>
      </c>
      <c r="J29" s="4" t="s">
        <v>46</v>
      </c>
      <c r="K29" s="4" t="s">
        <v>38</v>
      </c>
      <c r="L29" s="4" t="s">
        <v>45</v>
      </c>
      <c r="M29" s="4" t="s">
        <v>26</v>
      </c>
      <c r="N29" s="4"/>
    </row>
    <row r="30" spans="7:14">
      <c r="G30" s="4"/>
      <c r="H30" s="4" t="s">
        <v>32</v>
      </c>
      <c r="I30" s="4" t="s">
        <v>31</v>
      </c>
      <c r="J30" s="4"/>
      <c r="K30" s="4" t="s">
        <v>50</v>
      </c>
      <c r="L30" s="4" t="s">
        <v>48</v>
      </c>
      <c r="M30" s="4" t="s">
        <v>37</v>
      </c>
      <c r="N30" s="4"/>
    </row>
    <row r="31" spans="7:14">
      <c r="G31" s="4"/>
      <c r="H31" s="4" t="s">
        <v>36</v>
      </c>
      <c r="I31" s="4"/>
      <c r="J31" s="4"/>
      <c r="K31" s="4" t="s">
        <v>51</v>
      </c>
      <c r="L31" s="4" t="s">
        <v>49</v>
      </c>
      <c r="M31" s="4" t="s">
        <v>41</v>
      </c>
      <c r="N31" s="4"/>
    </row>
    <row r="32" spans="7:14">
      <c r="G32" s="4"/>
      <c r="H32" s="4" t="s">
        <v>39</v>
      </c>
      <c r="I32" s="4"/>
      <c r="J32" s="4"/>
      <c r="K32" s="4" t="s">
        <v>52</v>
      </c>
      <c r="L32" s="4" t="s">
        <v>56</v>
      </c>
      <c r="M32" s="4" t="s">
        <v>44</v>
      </c>
      <c r="N32" s="4"/>
    </row>
    <row r="33" spans="7:14">
      <c r="G33" s="4"/>
      <c r="H33" s="4" t="s">
        <v>40</v>
      </c>
      <c r="I33" s="4"/>
      <c r="J33" s="4"/>
      <c r="K33" s="4" t="s">
        <v>55</v>
      </c>
      <c r="L33" s="4" t="s">
        <v>63</v>
      </c>
      <c r="M33" s="4" t="s">
        <v>53</v>
      </c>
      <c r="N33" s="4"/>
    </row>
    <row r="34" spans="7:14">
      <c r="G34" s="4"/>
      <c r="H34" s="4" t="s">
        <v>42</v>
      </c>
      <c r="I34" s="4"/>
      <c r="J34" s="4"/>
      <c r="K34" s="4" t="s">
        <v>57</v>
      </c>
      <c r="L34" s="4"/>
      <c r="M34" s="4"/>
      <c r="N34" s="4"/>
    </row>
    <row r="35" spans="7:14">
      <c r="G35" s="4"/>
      <c r="H35" s="4" t="s">
        <v>47</v>
      </c>
      <c r="I35" s="4"/>
      <c r="J35" s="4"/>
      <c r="K35" s="4" t="s">
        <v>59</v>
      </c>
      <c r="L35" s="4"/>
      <c r="M35" s="4"/>
      <c r="N35" s="4"/>
    </row>
    <row r="36" spans="7:14">
      <c r="G36" s="4"/>
      <c r="H36" s="4" t="s">
        <v>54</v>
      </c>
      <c r="I36" s="4"/>
      <c r="J36" s="4"/>
      <c r="K36" s="4" t="s">
        <v>60</v>
      </c>
      <c r="L36" s="4"/>
      <c r="M36" s="4"/>
      <c r="N36" s="4"/>
    </row>
    <row r="37" spans="7:14">
      <c r="G37" s="4"/>
      <c r="H37" s="4" t="s">
        <v>58</v>
      </c>
      <c r="I37" s="4"/>
      <c r="J37" s="4"/>
      <c r="K37" s="4" t="s">
        <v>61</v>
      </c>
      <c r="L37" s="4"/>
      <c r="M37" s="4"/>
      <c r="N37" s="4"/>
    </row>
    <row r="38" spans="7:14">
      <c r="G38" s="4"/>
      <c r="H38" s="4" t="s">
        <v>62</v>
      </c>
      <c r="I38" s="4"/>
      <c r="J38" s="4"/>
      <c r="K38" s="4"/>
      <c r="L38" s="4"/>
      <c r="M38" s="4"/>
      <c r="N38" s="4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R27" sqref="R27"/>
    </sheetView>
  </sheetViews>
  <sheetFormatPr defaultColWidth="9" defaultRowHeight="15"/>
  <cols>
    <col min="2" max="2" width="9.28571428571429" customWidth="1"/>
    <col min="3" max="3" width="9.57142857142857" customWidth="1"/>
    <col min="4" max="5" width="9.28571428571429" customWidth="1"/>
  </cols>
  <sheetData>
    <row r="1" spans="1:11">
      <c r="A1" t="s">
        <v>7</v>
      </c>
      <c r="B1" t="s">
        <v>3</v>
      </c>
      <c r="C1" t="s">
        <v>4</v>
      </c>
      <c r="D1" t="s">
        <v>5</v>
      </c>
      <c r="E1" t="s">
        <v>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7">
      <c r="A2" t="s">
        <v>8</v>
      </c>
      <c r="B2" s="2">
        <v>2.16923076923077</v>
      </c>
      <c r="C2" s="2">
        <v>15.1846153846154</v>
      </c>
      <c r="D2" s="2">
        <v>54.3846153846154</v>
      </c>
      <c r="E2" s="2">
        <v>11.0769230769231</v>
      </c>
      <c r="F2">
        <v>11</v>
      </c>
      <c r="G2">
        <v>11</v>
      </c>
    </row>
    <row r="3" spans="1:7">
      <c r="A3" t="s">
        <v>9</v>
      </c>
      <c r="B3" s="2">
        <v>8.275</v>
      </c>
      <c r="C3" s="2">
        <v>158.7625</v>
      </c>
      <c r="D3" s="2">
        <v>66.5</v>
      </c>
      <c r="E3" s="2">
        <v>20.4625</v>
      </c>
      <c r="F3">
        <v>12</v>
      </c>
      <c r="G3">
        <v>1</v>
      </c>
    </row>
    <row r="4" spans="1:7">
      <c r="A4" t="s">
        <v>10</v>
      </c>
      <c r="B4" s="2">
        <v>11.75</v>
      </c>
      <c r="C4" s="2">
        <v>272.75</v>
      </c>
      <c r="D4" s="2">
        <v>62.5</v>
      </c>
      <c r="E4" s="2">
        <v>26.5</v>
      </c>
      <c r="F4">
        <v>13</v>
      </c>
      <c r="G4">
        <v>13</v>
      </c>
    </row>
    <row r="5" spans="1:7">
      <c r="A5" t="s">
        <v>11</v>
      </c>
      <c r="B5" s="2">
        <v>4.58333333333333</v>
      </c>
      <c r="C5" s="2">
        <v>76.0833333333333</v>
      </c>
      <c r="D5" s="2">
        <v>59.3333333333333</v>
      </c>
      <c r="E5" s="2">
        <v>17.9166666666667</v>
      </c>
      <c r="F5">
        <v>14</v>
      </c>
      <c r="G5">
        <v>14</v>
      </c>
    </row>
    <row r="6" spans="1:7">
      <c r="A6" t="s">
        <v>12</v>
      </c>
      <c r="B6" s="2"/>
      <c r="C6" s="2"/>
      <c r="D6" s="2"/>
      <c r="E6" s="2"/>
      <c r="F6">
        <v>15</v>
      </c>
      <c r="G6">
        <v>1</v>
      </c>
    </row>
    <row r="7" spans="1:7">
      <c r="A7" t="s">
        <v>13</v>
      </c>
      <c r="B7" s="2">
        <v>10.125</v>
      </c>
      <c r="C7" s="2">
        <v>223.5</v>
      </c>
      <c r="D7" s="2">
        <v>63.125</v>
      </c>
      <c r="E7" s="2">
        <v>30</v>
      </c>
      <c r="F7">
        <v>16</v>
      </c>
      <c r="G7">
        <v>16</v>
      </c>
    </row>
    <row r="9" spans="2:7">
      <c r="B9">
        <v>1</v>
      </c>
      <c r="C9">
        <v>2</v>
      </c>
      <c r="D9">
        <v>3</v>
      </c>
      <c r="E9">
        <v>4</v>
      </c>
      <c r="F9">
        <v>5</v>
      </c>
      <c r="G9">
        <v>6</v>
      </c>
    </row>
    <row r="10" spans="1:8">
      <c r="A10">
        <v>1</v>
      </c>
      <c r="B10">
        <f>IFERROR(IF($A10=B$9,1000000,SQRT(SUMXMY2($B2:$E2,INDEX($B$2:$E$7,B$9,0)))),1000000)</f>
        <v>1000000</v>
      </c>
      <c r="C10">
        <f t="shared" ref="C10:G10" si="0">IFERROR(IF($A10=C$9,1000000,SQRT(SUMXMY2($B2:$E2,INDEX($B$2:$E$7,C$9,0)))),1000000)</f>
        <v>144.522527541853</v>
      </c>
      <c r="D10">
        <f t="shared" si="0"/>
        <v>258.332052328694</v>
      </c>
      <c r="E10">
        <f t="shared" si="0"/>
        <v>61.528478290113</v>
      </c>
      <c r="F10">
        <f t="shared" si="0"/>
        <v>1000000</v>
      </c>
      <c r="G10">
        <f t="shared" si="0"/>
        <v>209.506732338057</v>
      </c>
      <c r="H10" t="e">
        <f>MATCH(MIN(B$10:G$15),B10:G10,0)</f>
        <v>#N/A</v>
      </c>
    </row>
    <row r="11" spans="1:13">
      <c r="A11">
        <v>2</v>
      </c>
      <c r="B11">
        <f t="shared" ref="B11:G15" si="1">IFERROR(IF($A11=B$9,1000000,SQRT(SUMXMY2($B3:$E3,INDEX($B$2:$E$7,B$9,0)))),1000000)</f>
        <v>144.522527541853</v>
      </c>
      <c r="C11">
        <f t="shared" si="1"/>
        <v>1000000</v>
      </c>
      <c r="D11">
        <f t="shared" si="1"/>
        <v>114.270193784294</v>
      </c>
      <c r="E11">
        <f t="shared" si="1"/>
        <v>83.1102603891026</v>
      </c>
      <c r="F11">
        <f t="shared" si="1"/>
        <v>1000000</v>
      </c>
      <c r="G11">
        <f t="shared" si="1"/>
        <v>65.5493778574595</v>
      </c>
      <c r="H11" t="e">
        <f t="shared" ref="H11:H15" si="2">MATCH(MIN(B$10:G$15),B11:G11,0)</f>
        <v>#N/A</v>
      </c>
      <c r="J11" s="2">
        <f>AVERAGE(B4,B7)</f>
        <v>10.9375</v>
      </c>
      <c r="K11" s="2">
        <f t="shared" ref="K11:M11" si="3">AVERAGE(C4,C7)</f>
        <v>248.125</v>
      </c>
      <c r="L11" s="2">
        <f t="shared" si="3"/>
        <v>62.8125</v>
      </c>
      <c r="M11" s="2">
        <f t="shared" si="3"/>
        <v>28.25</v>
      </c>
    </row>
    <row r="12" spans="1:13">
      <c r="A12">
        <v>3</v>
      </c>
      <c r="B12">
        <f t="shared" si="1"/>
        <v>258.332052328694</v>
      </c>
      <c r="C12">
        <f t="shared" si="1"/>
        <v>114.270193784294</v>
      </c>
      <c r="D12">
        <f t="shared" si="1"/>
        <v>1000000</v>
      </c>
      <c r="E12">
        <f t="shared" si="1"/>
        <v>197.009746656803</v>
      </c>
      <c r="F12">
        <f t="shared" si="1"/>
        <v>1000000</v>
      </c>
      <c r="G12">
        <f t="shared" si="1"/>
        <v>49.4048960124399</v>
      </c>
      <c r="H12">
        <f t="shared" si="2"/>
        <v>6</v>
      </c>
      <c r="J12" s="2">
        <v>10.9375</v>
      </c>
      <c r="K12" s="2">
        <v>248.125</v>
      </c>
      <c r="L12" s="2">
        <v>62.8125</v>
      </c>
      <c r="M12" s="2">
        <v>28.25</v>
      </c>
    </row>
    <row r="13" spans="1:8">
      <c r="A13">
        <v>4</v>
      </c>
      <c r="B13">
        <f t="shared" si="1"/>
        <v>61.528478290113</v>
      </c>
      <c r="C13">
        <f t="shared" si="1"/>
        <v>83.1102603891026</v>
      </c>
      <c r="D13">
        <f t="shared" si="1"/>
        <v>197.009746656803</v>
      </c>
      <c r="E13">
        <f t="shared" si="1"/>
        <v>1000000</v>
      </c>
      <c r="F13">
        <f t="shared" si="1"/>
        <v>1000000</v>
      </c>
      <c r="G13">
        <f t="shared" si="1"/>
        <v>148.063389671826</v>
      </c>
      <c r="H13" t="e">
        <f t="shared" si="2"/>
        <v>#N/A</v>
      </c>
    </row>
    <row r="14" spans="1:8">
      <c r="A14">
        <v>5</v>
      </c>
      <c r="B14">
        <f t="shared" si="1"/>
        <v>1000000</v>
      </c>
      <c r="C14">
        <f t="shared" si="1"/>
        <v>1000000</v>
      </c>
      <c r="D14">
        <f t="shared" si="1"/>
        <v>1000000</v>
      </c>
      <c r="E14">
        <f t="shared" si="1"/>
        <v>1000000</v>
      </c>
      <c r="F14">
        <f t="shared" si="1"/>
        <v>1000000</v>
      </c>
      <c r="G14">
        <f t="shared" si="1"/>
        <v>1000000</v>
      </c>
      <c r="H14" t="e">
        <f t="shared" si="2"/>
        <v>#N/A</v>
      </c>
    </row>
    <row r="15" spans="1:8">
      <c r="A15">
        <v>6</v>
      </c>
      <c r="B15">
        <f t="shared" si="1"/>
        <v>209.506732338057</v>
      </c>
      <c r="C15">
        <f t="shared" si="1"/>
        <v>65.5493778574595</v>
      </c>
      <c r="D15">
        <f t="shared" si="1"/>
        <v>49.4048960124399</v>
      </c>
      <c r="E15">
        <f t="shared" si="1"/>
        <v>148.063389671826</v>
      </c>
      <c r="F15">
        <f t="shared" si="1"/>
        <v>1000000</v>
      </c>
      <c r="G15">
        <f t="shared" si="1"/>
        <v>1000000</v>
      </c>
      <c r="H15">
        <f t="shared" si="2"/>
        <v>3</v>
      </c>
    </row>
    <row r="25" ht="15.75" spans="7:14">
      <c r="G25" s="4"/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4"/>
    </row>
    <row r="26" spans="7:14">
      <c r="G26" s="4"/>
      <c r="H26" s="4" t="s">
        <v>20</v>
      </c>
      <c r="I26" s="4" t="s">
        <v>14</v>
      </c>
      <c r="J26" s="4" t="s">
        <v>22</v>
      </c>
      <c r="K26" s="4" t="s">
        <v>25</v>
      </c>
      <c r="L26" s="4" t="s">
        <v>23</v>
      </c>
      <c r="M26" s="4" t="s">
        <v>15</v>
      </c>
      <c r="N26" s="4"/>
    </row>
    <row r="27" spans="7:14">
      <c r="G27" s="4"/>
      <c r="H27" s="4" t="s">
        <v>24</v>
      </c>
      <c r="I27" s="4" t="s">
        <v>17</v>
      </c>
      <c r="J27" s="4" t="s">
        <v>33</v>
      </c>
      <c r="K27" s="4" t="s">
        <v>29</v>
      </c>
      <c r="L27" s="4" t="s">
        <v>34</v>
      </c>
      <c r="M27" s="4" t="s">
        <v>16</v>
      </c>
      <c r="N27" s="4"/>
    </row>
    <row r="28" spans="7:14">
      <c r="G28" s="4"/>
      <c r="H28" s="4" t="s">
        <v>27</v>
      </c>
      <c r="I28" s="4" t="s">
        <v>19</v>
      </c>
      <c r="J28" s="4" t="s">
        <v>35</v>
      </c>
      <c r="K28" s="4" t="s">
        <v>30</v>
      </c>
      <c r="L28" s="4" t="s">
        <v>43</v>
      </c>
      <c r="M28" s="4" t="s">
        <v>18</v>
      </c>
      <c r="N28" s="4"/>
    </row>
    <row r="29" spans="7:14">
      <c r="G29" s="4"/>
      <c r="H29" s="4" t="s">
        <v>28</v>
      </c>
      <c r="I29" s="4" t="s">
        <v>21</v>
      </c>
      <c r="J29" s="4" t="s">
        <v>46</v>
      </c>
      <c r="K29" s="4" t="s">
        <v>38</v>
      </c>
      <c r="L29" s="4" t="s">
        <v>45</v>
      </c>
      <c r="M29" s="4" t="s">
        <v>26</v>
      </c>
      <c r="N29" s="4"/>
    </row>
    <row r="30" spans="7:14">
      <c r="G30" s="4"/>
      <c r="H30" s="4" t="s">
        <v>32</v>
      </c>
      <c r="I30" s="4" t="s">
        <v>31</v>
      </c>
      <c r="J30" s="4"/>
      <c r="K30" s="4" t="s">
        <v>50</v>
      </c>
      <c r="L30" s="4" t="s">
        <v>48</v>
      </c>
      <c r="M30" s="4" t="s">
        <v>37</v>
      </c>
      <c r="N30" s="4"/>
    </row>
    <row r="31" spans="7:14">
      <c r="G31" s="4"/>
      <c r="H31" s="4" t="s">
        <v>36</v>
      </c>
      <c r="I31" s="4"/>
      <c r="J31" s="4"/>
      <c r="K31" s="4" t="s">
        <v>51</v>
      </c>
      <c r="L31" s="4" t="s">
        <v>49</v>
      </c>
      <c r="M31" s="4" t="s">
        <v>41</v>
      </c>
      <c r="N31" s="4"/>
    </row>
    <row r="32" spans="7:14">
      <c r="G32" s="4"/>
      <c r="H32" s="4" t="s">
        <v>39</v>
      </c>
      <c r="I32" s="4"/>
      <c r="J32" s="4"/>
      <c r="K32" s="4" t="s">
        <v>52</v>
      </c>
      <c r="L32" s="4" t="s">
        <v>56</v>
      </c>
      <c r="M32" s="4" t="s">
        <v>44</v>
      </c>
      <c r="N32" s="4"/>
    </row>
    <row r="33" spans="7:14">
      <c r="G33" s="4"/>
      <c r="H33" s="4" t="s">
        <v>40</v>
      </c>
      <c r="I33" s="4"/>
      <c r="J33" s="4"/>
      <c r="K33" s="4" t="s">
        <v>55</v>
      </c>
      <c r="L33" s="4" t="s">
        <v>63</v>
      </c>
      <c r="M33" s="4" t="s">
        <v>53</v>
      </c>
      <c r="N33" s="4"/>
    </row>
    <row r="34" spans="7:14">
      <c r="G34" s="4"/>
      <c r="H34" s="4" t="s">
        <v>42</v>
      </c>
      <c r="I34" s="4"/>
      <c r="J34" s="4"/>
      <c r="K34" s="4" t="s">
        <v>57</v>
      </c>
      <c r="L34" s="4"/>
      <c r="M34" s="4"/>
      <c r="N34" s="4"/>
    </row>
    <row r="35" spans="7:14">
      <c r="G35" s="4"/>
      <c r="H35" s="4" t="s">
        <v>47</v>
      </c>
      <c r="I35" s="4"/>
      <c r="J35" s="4"/>
      <c r="K35" s="4" t="s">
        <v>59</v>
      </c>
      <c r="L35" s="4"/>
      <c r="M35" s="4"/>
      <c r="N35" s="4"/>
    </row>
    <row r="36" spans="7:14">
      <c r="G36" s="4"/>
      <c r="H36" s="4" t="s">
        <v>54</v>
      </c>
      <c r="I36" s="4"/>
      <c r="J36" s="4"/>
      <c r="K36" s="4" t="s">
        <v>60</v>
      </c>
      <c r="L36" s="4"/>
      <c r="M36" s="4"/>
      <c r="N36" s="4"/>
    </row>
    <row r="37" spans="7:14">
      <c r="G37" s="4"/>
      <c r="H37" s="4" t="s">
        <v>58</v>
      </c>
      <c r="I37" s="4"/>
      <c r="J37" s="4"/>
      <c r="K37" s="4" t="s">
        <v>61</v>
      </c>
      <c r="L37" s="4"/>
      <c r="M37" s="4"/>
      <c r="N37" s="4"/>
    </row>
    <row r="38" spans="7:14">
      <c r="G38" s="4"/>
      <c r="H38" s="4" t="s">
        <v>62</v>
      </c>
      <c r="I38" s="4"/>
      <c r="J38" s="4"/>
      <c r="K38" s="4"/>
      <c r="L38" s="4"/>
      <c r="M38" s="4"/>
      <c r="N38" s="4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V20" sqref="V20"/>
    </sheetView>
  </sheetViews>
  <sheetFormatPr defaultColWidth="9" defaultRowHeight="15"/>
  <cols>
    <col min="2" max="2" width="9.28571428571429" customWidth="1"/>
    <col min="3" max="3" width="9.57142857142857" customWidth="1"/>
    <col min="4" max="5" width="9.28571428571429" customWidth="1"/>
  </cols>
  <sheetData>
    <row r="1" spans="1:11">
      <c r="A1" t="s">
        <v>7</v>
      </c>
      <c r="B1" t="s">
        <v>3</v>
      </c>
      <c r="C1" t="s">
        <v>4</v>
      </c>
      <c r="D1" t="s">
        <v>5</v>
      </c>
      <c r="E1" t="s">
        <v>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9">
      <c r="A2" t="s">
        <v>8</v>
      </c>
      <c r="B2" s="2">
        <v>2.16923076923077</v>
      </c>
      <c r="C2" s="2">
        <v>15.1846153846154</v>
      </c>
      <c r="D2" s="2">
        <v>54.3846153846154</v>
      </c>
      <c r="E2" s="2">
        <v>11.0769230769231</v>
      </c>
      <c r="F2">
        <v>11</v>
      </c>
      <c r="G2">
        <v>11</v>
      </c>
      <c r="H2">
        <v>11</v>
      </c>
      <c r="I2">
        <v>3</v>
      </c>
    </row>
    <row r="3" spans="1:9">
      <c r="A3" t="s">
        <v>9</v>
      </c>
      <c r="B3" s="2">
        <v>8.275</v>
      </c>
      <c r="C3" s="2">
        <v>158.7625</v>
      </c>
      <c r="D3" s="2">
        <v>66.5</v>
      </c>
      <c r="E3" s="2">
        <v>20.4625</v>
      </c>
      <c r="F3">
        <v>12</v>
      </c>
      <c r="G3">
        <v>1</v>
      </c>
      <c r="H3">
        <v>1</v>
      </c>
      <c r="I3">
        <v>1</v>
      </c>
    </row>
    <row r="4" spans="1:9">
      <c r="A4" t="s">
        <v>10</v>
      </c>
      <c r="B4" s="2">
        <v>10.9375</v>
      </c>
      <c r="C4" s="2">
        <v>248.125</v>
      </c>
      <c r="D4" s="2">
        <v>62.8125</v>
      </c>
      <c r="E4" s="2">
        <v>28.25</v>
      </c>
      <c r="F4">
        <v>13</v>
      </c>
      <c r="G4">
        <v>13</v>
      </c>
      <c r="H4">
        <v>2</v>
      </c>
      <c r="I4">
        <v>2</v>
      </c>
    </row>
    <row r="5" spans="1:9">
      <c r="A5" t="s">
        <v>11</v>
      </c>
      <c r="B5" s="2">
        <v>4.58333333333333</v>
      </c>
      <c r="C5" s="2">
        <v>76.0833333333333</v>
      </c>
      <c r="D5" s="2">
        <v>59.3333333333333</v>
      </c>
      <c r="E5" s="2">
        <v>17.9166666666667</v>
      </c>
      <c r="F5">
        <v>14</v>
      </c>
      <c r="G5">
        <v>14</v>
      </c>
      <c r="H5">
        <v>14</v>
      </c>
      <c r="I5">
        <v>3</v>
      </c>
    </row>
    <row r="6" spans="1:9">
      <c r="A6" t="s">
        <v>12</v>
      </c>
      <c r="B6" s="2"/>
      <c r="C6" s="2"/>
      <c r="D6" s="2"/>
      <c r="E6" s="2"/>
      <c r="F6">
        <v>15</v>
      </c>
      <c r="G6">
        <v>1</v>
      </c>
      <c r="H6">
        <v>1</v>
      </c>
      <c r="I6">
        <v>1</v>
      </c>
    </row>
    <row r="7" spans="1:9">
      <c r="A7" t="s">
        <v>13</v>
      </c>
      <c r="B7" s="2"/>
      <c r="C7" s="2"/>
      <c r="D7" s="2"/>
      <c r="E7" s="2"/>
      <c r="F7">
        <v>16</v>
      </c>
      <c r="G7">
        <v>16</v>
      </c>
      <c r="H7">
        <v>2</v>
      </c>
      <c r="I7">
        <v>2</v>
      </c>
    </row>
    <row r="9" spans="2:7">
      <c r="B9">
        <v>1</v>
      </c>
      <c r="C9">
        <v>2</v>
      </c>
      <c r="D9">
        <v>3</v>
      </c>
      <c r="E9">
        <v>4</v>
      </c>
      <c r="F9">
        <v>5</v>
      </c>
      <c r="G9">
        <v>6</v>
      </c>
    </row>
    <row r="10" spans="1:8">
      <c r="A10">
        <v>1</v>
      </c>
      <c r="B10">
        <f>IFERROR(IF($A10=B$9,1000000,SQRT(SUMXMY2($B2:$E2,INDEX($B$2:$E$7,B$9,0)))),1000000)</f>
        <v>1000000</v>
      </c>
      <c r="C10">
        <f t="shared" ref="C10:G10" si="0">IFERROR(IF($A10=C$9,1000000,SQRT(SUMXMY2($B2:$E2,INDEX($B$2:$E$7,C$9,0)))),1000000)</f>
        <v>144.522527541853</v>
      </c>
      <c r="D10">
        <f t="shared" si="0"/>
        <v>233.888967546917</v>
      </c>
      <c r="E10">
        <f t="shared" si="0"/>
        <v>61.528478290113</v>
      </c>
      <c r="F10">
        <f t="shared" si="0"/>
        <v>1000000</v>
      </c>
      <c r="G10">
        <f t="shared" si="0"/>
        <v>1000000</v>
      </c>
      <c r="H10">
        <f>MATCH(MIN(B$10:G$15),B10:G10,0)</f>
        <v>4</v>
      </c>
    </row>
    <row r="11" spans="1:13">
      <c r="A11">
        <v>2</v>
      </c>
      <c r="B11">
        <f t="shared" ref="B11:G15" si="1">IFERROR(IF($A11=B$9,1000000,SQRT(SUMXMY2($B3:$E3,INDEX($B$2:$E$7,B$9,0)))),1000000)</f>
        <v>144.522527541853</v>
      </c>
      <c r="C11">
        <f t="shared" si="1"/>
        <v>1000000</v>
      </c>
      <c r="D11">
        <f t="shared" si="1"/>
        <v>89.8164134498812</v>
      </c>
      <c r="E11">
        <f t="shared" si="1"/>
        <v>83.1102603891026</v>
      </c>
      <c r="F11">
        <f t="shared" si="1"/>
        <v>1000000</v>
      </c>
      <c r="G11">
        <f t="shared" si="1"/>
        <v>1000000</v>
      </c>
      <c r="H11" t="e">
        <f t="shared" ref="H11:H15" si="2">MATCH(MIN(B$10:G$15),B11:G11,0)</f>
        <v>#N/A</v>
      </c>
      <c r="J11" s="2">
        <f>AVERAGE(B2,B5)</f>
        <v>3.37628205128205</v>
      </c>
      <c r="K11" s="2">
        <f t="shared" ref="K11:M11" si="3">AVERAGE(C2,C5)</f>
        <v>45.6339743589744</v>
      </c>
      <c r="L11" s="2">
        <f t="shared" si="3"/>
        <v>56.8589743589744</v>
      </c>
      <c r="M11" s="2">
        <f t="shared" si="3"/>
        <v>14.4967948717949</v>
      </c>
    </row>
    <row r="12" spans="1:13">
      <c r="A12">
        <v>3</v>
      </c>
      <c r="B12">
        <f t="shared" si="1"/>
        <v>233.888967546917</v>
      </c>
      <c r="C12">
        <f t="shared" si="1"/>
        <v>89.8164134498812</v>
      </c>
      <c r="D12">
        <f t="shared" si="1"/>
        <v>1000000</v>
      </c>
      <c r="E12">
        <f t="shared" si="1"/>
        <v>172.503892367519</v>
      </c>
      <c r="F12">
        <f t="shared" si="1"/>
        <v>1000000</v>
      </c>
      <c r="G12">
        <f t="shared" si="1"/>
        <v>1000000</v>
      </c>
      <c r="H12" t="e">
        <f t="shared" si="2"/>
        <v>#N/A</v>
      </c>
      <c r="J12" s="2">
        <v>3.37628205128205</v>
      </c>
      <c r="K12" s="2">
        <v>45.6339743589744</v>
      </c>
      <c r="L12" s="2">
        <v>56.8589743589744</v>
      </c>
      <c r="M12" s="2">
        <v>14.4967948717949</v>
      </c>
    </row>
    <row r="13" spans="1:8">
      <c r="A13">
        <v>4</v>
      </c>
      <c r="B13">
        <f t="shared" si="1"/>
        <v>61.528478290113</v>
      </c>
      <c r="C13">
        <f t="shared" si="1"/>
        <v>83.1102603891026</v>
      </c>
      <c r="D13">
        <f t="shared" si="1"/>
        <v>172.503892367519</v>
      </c>
      <c r="E13">
        <f t="shared" si="1"/>
        <v>1000000</v>
      </c>
      <c r="F13">
        <f t="shared" si="1"/>
        <v>1000000</v>
      </c>
      <c r="G13">
        <f t="shared" si="1"/>
        <v>1000000</v>
      </c>
      <c r="H13">
        <f t="shared" si="2"/>
        <v>1</v>
      </c>
    </row>
    <row r="14" spans="1:8">
      <c r="A14">
        <v>5</v>
      </c>
      <c r="B14">
        <f t="shared" si="1"/>
        <v>1000000</v>
      </c>
      <c r="C14">
        <f t="shared" si="1"/>
        <v>1000000</v>
      </c>
      <c r="D14">
        <f t="shared" si="1"/>
        <v>1000000</v>
      </c>
      <c r="E14">
        <f t="shared" si="1"/>
        <v>1000000</v>
      </c>
      <c r="F14">
        <f t="shared" si="1"/>
        <v>1000000</v>
      </c>
      <c r="G14">
        <f t="shared" si="1"/>
        <v>1000000</v>
      </c>
      <c r="H14" t="e">
        <f t="shared" si="2"/>
        <v>#N/A</v>
      </c>
    </row>
    <row r="15" spans="1:8">
      <c r="A15">
        <v>6</v>
      </c>
      <c r="B15">
        <f t="shared" si="1"/>
        <v>1000000</v>
      </c>
      <c r="C15">
        <f t="shared" si="1"/>
        <v>1000000</v>
      </c>
      <c r="D15">
        <f t="shared" si="1"/>
        <v>1000000</v>
      </c>
      <c r="E15">
        <f t="shared" si="1"/>
        <v>1000000</v>
      </c>
      <c r="F15">
        <f t="shared" si="1"/>
        <v>1000000</v>
      </c>
      <c r="G15">
        <f t="shared" si="1"/>
        <v>1000000</v>
      </c>
      <c r="H15" t="e">
        <f t="shared" si="2"/>
        <v>#N/A</v>
      </c>
    </row>
    <row r="25" ht="15.75" spans="7:14">
      <c r="G25" s="4"/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4"/>
    </row>
    <row r="26" spans="7:14">
      <c r="G26" s="4"/>
      <c r="H26" s="4" t="s">
        <v>20</v>
      </c>
      <c r="I26" s="4" t="s">
        <v>14</v>
      </c>
      <c r="J26" s="4" t="s">
        <v>22</v>
      </c>
      <c r="K26" s="4" t="s">
        <v>25</v>
      </c>
      <c r="L26" s="4" t="s">
        <v>23</v>
      </c>
      <c r="M26" s="4" t="s">
        <v>15</v>
      </c>
      <c r="N26" s="4"/>
    </row>
    <row r="27" spans="7:14">
      <c r="G27" s="4"/>
      <c r="H27" s="4" t="s">
        <v>24</v>
      </c>
      <c r="I27" s="4" t="s">
        <v>17</v>
      </c>
      <c r="J27" s="4" t="s">
        <v>33</v>
      </c>
      <c r="K27" s="4" t="s">
        <v>29</v>
      </c>
      <c r="L27" s="4" t="s">
        <v>34</v>
      </c>
      <c r="M27" s="4" t="s">
        <v>16</v>
      </c>
      <c r="N27" s="4"/>
    </row>
    <row r="28" spans="7:14">
      <c r="G28" s="4"/>
      <c r="H28" s="4" t="s">
        <v>27</v>
      </c>
      <c r="I28" s="4" t="s">
        <v>19</v>
      </c>
      <c r="J28" s="4" t="s">
        <v>35</v>
      </c>
      <c r="K28" s="4" t="s">
        <v>30</v>
      </c>
      <c r="L28" s="4" t="s">
        <v>43</v>
      </c>
      <c r="M28" s="4" t="s">
        <v>18</v>
      </c>
      <c r="N28" s="4"/>
    </row>
    <row r="29" spans="7:14">
      <c r="G29" s="4"/>
      <c r="H29" s="4" t="s">
        <v>28</v>
      </c>
      <c r="I29" s="4" t="s">
        <v>21</v>
      </c>
      <c r="J29" s="4" t="s">
        <v>46</v>
      </c>
      <c r="K29" s="4" t="s">
        <v>38</v>
      </c>
      <c r="L29" s="4" t="s">
        <v>45</v>
      </c>
      <c r="M29" s="4" t="s">
        <v>26</v>
      </c>
      <c r="N29" s="4"/>
    </row>
    <row r="30" spans="7:14">
      <c r="G30" s="4"/>
      <c r="H30" s="4" t="s">
        <v>32</v>
      </c>
      <c r="I30" s="4" t="s">
        <v>31</v>
      </c>
      <c r="J30" s="4"/>
      <c r="K30" s="4" t="s">
        <v>50</v>
      </c>
      <c r="L30" s="4" t="s">
        <v>48</v>
      </c>
      <c r="M30" s="4" t="s">
        <v>37</v>
      </c>
      <c r="N30" s="4"/>
    </row>
    <row r="31" spans="7:14">
      <c r="G31" s="4"/>
      <c r="H31" s="4" t="s">
        <v>36</v>
      </c>
      <c r="I31" s="4"/>
      <c r="J31" s="4"/>
      <c r="K31" s="4" t="s">
        <v>51</v>
      </c>
      <c r="L31" s="4" t="s">
        <v>49</v>
      </c>
      <c r="M31" s="4" t="s">
        <v>41</v>
      </c>
      <c r="N31" s="4"/>
    </row>
    <row r="32" spans="7:14">
      <c r="G32" s="4"/>
      <c r="H32" s="4" t="s">
        <v>39</v>
      </c>
      <c r="I32" s="4"/>
      <c r="J32" s="4"/>
      <c r="K32" s="4" t="s">
        <v>52</v>
      </c>
      <c r="L32" s="4" t="s">
        <v>56</v>
      </c>
      <c r="M32" s="4" t="s">
        <v>44</v>
      </c>
      <c r="N32" s="4"/>
    </row>
    <row r="33" spans="7:14">
      <c r="G33" s="4"/>
      <c r="H33" s="4" t="s">
        <v>40</v>
      </c>
      <c r="I33" s="4"/>
      <c r="J33" s="4"/>
      <c r="K33" s="4" t="s">
        <v>55</v>
      </c>
      <c r="L33" s="4" t="s">
        <v>63</v>
      </c>
      <c r="M33" s="4" t="s">
        <v>53</v>
      </c>
      <c r="N33" s="4"/>
    </row>
    <row r="34" spans="7:14">
      <c r="G34" s="4"/>
      <c r="H34" s="4" t="s">
        <v>42</v>
      </c>
      <c r="I34" s="4"/>
      <c r="J34" s="4"/>
      <c r="K34" s="4" t="s">
        <v>57</v>
      </c>
      <c r="L34" s="4"/>
      <c r="M34" s="4"/>
      <c r="N34" s="4"/>
    </row>
    <row r="35" spans="7:14">
      <c r="G35" s="4"/>
      <c r="H35" s="4" t="s">
        <v>47</v>
      </c>
      <c r="I35" s="4"/>
      <c r="J35" s="4"/>
      <c r="K35" s="4" t="s">
        <v>59</v>
      </c>
      <c r="L35" s="4"/>
      <c r="M35" s="4"/>
      <c r="N35" s="4"/>
    </row>
    <row r="36" spans="7:14">
      <c r="G36" s="4"/>
      <c r="H36" s="4" t="s">
        <v>54</v>
      </c>
      <c r="I36" s="4"/>
      <c r="J36" s="4"/>
      <c r="K36" s="4" t="s">
        <v>60</v>
      </c>
      <c r="L36" s="4"/>
      <c r="M36" s="4"/>
      <c r="N36" s="4"/>
    </row>
    <row r="37" spans="7:14">
      <c r="G37" s="4"/>
      <c r="H37" s="4" t="s">
        <v>58</v>
      </c>
      <c r="I37" s="4"/>
      <c r="J37" s="4"/>
      <c r="K37" s="4" t="s">
        <v>61</v>
      </c>
      <c r="L37" s="4"/>
      <c r="M37" s="4"/>
      <c r="N37" s="4"/>
    </row>
    <row r="38" spans="7:14">
      <c r="G38" s="4"/>
      <c r="H38" s="4" t="s">
        <v>62</v>
      </c>
      <c r="I38" s="4"/>
      <c r="J38" s="4"/>
      <c r="K38" s="4"/>
      <c r="L38" s="4"/>
      <c r="M38" s="4"/>
      <c r="N38" s="4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F1" sqref="F1:K1"/>
    </sheetView>
  </sheetViews>
  <sheetFormatPr defaultColWidth="9" defaultRowHeight="15"/>
  <cols>
    <col min="2" max="2" width="9.28571428571429" customWidth="1"/>
    <col min="3" max="3" width="9.57142857142857" customWidth="1"/>
    <col min="4" max="5" width="9.28571428571429" customWidth="1"/>
  </cols>
  <sheetData>
    <row r="1" spans="1:11">
      <c r="A1" t="s">
        <v>7</v>
      </c>
      <c r="B1" t="s">
        <v>3</v>
      </c>
      <c r="C1" t="s">
        <v>4</v>
      </c>
      <c r="D1" t="s">
        <v>5</v>
      </c>
      <c r="E1" t="s">
        <v>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9">
      <c r="A2" t="s">
        <v>8</v>
      </c>
      <c r="B2" s="2">
        <v>3.37628205128205</v>
      </c>
      <c r="C2" s="2">
        <v>45.6339743589744</v>
      </c>
      <c r="D2" s="2">
        <v>56.8589743589744</v>
      </c>
      <c r="E2" s="2">
        <v>14.4967948717949</v>
      </c>
      <c r="F2">
        <v>11</v>
      </c>
      <c r="G2">
        <v>11</v>
      </c>
      <c r="H2">
        <v>11</v>
      </c>
      <c r="I2">
        <v>3</v>
      </c>
    </row>
    <row r="3" spans="1:9">
      <c r="A3" t="s">
        <v>9</v>
      </c>
      <c r="B3" s="2">
        <v>8.275</v>
      </c>
      <c r="C3" s="2">
        <v>158.7625</v>
      </c>
      <c r="D3" s="2">
        <v>66.5</v>
      </c>
      <c r="E3" s="2">
        <v>20.4625</v>
      </c>
      <c r="F3">
        <v>12</v>
      </c>
      <c r="G3">
        <v>1</v>
      </c>
      <c r="H3">
        <v>1</v>
      </c>
      <c r="I3">
        <v>1</v>
      </c>
    </row>
    <row r="4" spans="1:9">
      <c r="A4" t="s">
        <v>10</v>
      </c>
      <c r="B4" s="2">
        <v>10.9375</v>
      </c>
      <c r="C4" s="2">
        <v>248.125</v>
      </c>
      <c r="D4" s="2">
        <v>62.8125</v>
      </c>
      <c r="E4" s="2">
        <v>28.25</v>
      </c>
      <c r="F4">
        <v>13</v>
      </c>
      <c r="G4">
        <v>13</v>
      </c>
      <c r="H4">
        <v>2</v>
      </c>
      <c r="I4">
        <v>2</v>
      </c>
    </row>
    <row r="5" spans="1:9">
      <c r="A5" t="s">
        <v>11</v>
      </c>
      <c r="B5" s="2"/>
      <c r="C5" s="2"/>
      <c r="D5" s="2"/>
      <c r="E5" s="2"/>
      <c r="F5">
        <v>14</v>
      </c>
      <c r="G5">
        <v>14</v>
      </c>
      <c r="H5">
        <v>14</v>
      </c>
      <c r="I5">
        <v>3</v>
      </c>
    </row>
    <row r="6" spans="1:9">
      <c r="A6" t="s">
        <v>12</v>
      </c>
      <c r="B6" s="2"/>
      <c r="C6" s="2"/>
      <c r="D6" s="2"/>
      <c r="E6" s="2"/>
      <c r="F6">
        <v>15</v>
      </c>
      <c r="G6">
        <v>1</v>
      </c>
      <c r="H6">
        <v>1</v>
      </c>
      <c r="I6">
        <v>1</v>
      </c>
    </row>
    <row r="7" spans="1:9">
      <c r="A7" t="s">
        <v>13</v>
      </c>
      <c r="B7" s="2"/>
      <c r="C7" s="2"/>
      <c r="D7" s="2"/>
      <c r="E7" s="2"/>
      <c r="F7">
        <v>16</v>
      </c>
      <c r="G7">
        <v>16</v>
      </c>
      <c r="H7">
        <v>2</v>
      </c>
      <c r="I7">
        <v>2</v>
      </c>
    </row>
    <row r="9" spans="2:7">
      <c r="B9">
        <v>1</v>
      </c>
      <c r="C9">
        <v>2</v>
      </c>
      <c r="D9">
        <v>3</v>
      </c>
      <c r="E9">
        <v>4</v>
      </c>
      <c r="F9">
        <v>5</v>
      </c>
      <c r="G9">
        <v>6</v>
      </c>
    </row>
    <row r="10" spans="1:8">
      <c r="A10">
        <v>1</v>
      </c>
      <c r="B10">
        <f>IFERROR(IF($A10=B$9,1000000,SQRT(SUMXMY2($B2:$E2,INDEX($B$2:$E$7,B$9,0)))),1000000)</f>
        <v>1000000</v>
      </c>
      <c r="C10">
        <f t="shared" ref="C10:G10" si="0">IFERROR(IF($A10=C$9,1000000,SQRT(SUMXMY2($B2:$E2,INDEX($B$2:$E$7,C$9,0)))),1000000)</f>
        <v>113.800701950124</v>
      </c>
      <c r="D10">
        <f t="shared" si="0"/>
        <v>203.185586597277</v>
      </c>
      <c r="E10">
        <f t="shared" si="0"/>
        <v>1000000</v>
      </c>
      <c r="F10">
        <f t="shared" si="0"/>
        <v>1000000</v>
      </c>
      <c r="G10">
        <f t="shared" si="0"/>
        <v>1000000</v>
      </c>
      <c r="H10" t="e">
        <f>MATCH(MIN(B$10:G$15),B10:G10,0)</f>
        <v>#N/A</v>
      </c>
    </row>
    <row r="11" spans="1:13">
      <c r="A11">
        <v>2</v>
      </c>
      <c r="B11">
        <f t="shared" ref="B11:G15" si="1">IFERROR(IF($A11=B$9,1000000,SQRT(SUMXMY2($B3:$E3,INDEX($B$2:$E$7,B$9,0)))),1000000)</f>
        <v>113.800701950124</v>
      </c>
      <c r="C11">
        <f t="shared" si="1"/>
        <v>1000000</v>
      </c>
      <c r="D11">
        <f t="shared" si="1"/>
        <v>89.8164134498812</v>
      </c>
      <c r="E11">
        <f t="shared" si="1"/>
        <v>1000000</v>
      </c>
      <c r="F11">
        <f t="shared" si="1"/>
        <v>1000000</v>
      </c>
      <c r="G11">
        <f t="shared" si="1"/>
        <v>1000000</v>
      </c>
      <c r="H11">
        <f t="shared" ref="H11:H15" si="2">MATCH(MIN(B$10:G$15),B11:G11,0)</f>
        <v>3</v>
      </c>
      <c r="J11" s="2">
        <f>SUM(B3*2,B4*2)/4</f>
        <v>9.60625</v>
      </c>
      <c r="K11" s="2">
        <f t="shared" ref="K11:M11" si="3">SUM(C3*2,C4*2)/4</f>
        <v>203.44375</v>
      </c>
      <c r="L11" s="2">
        <f t="shared" si="3"/>
        <v>64.65625</v>
      </c>
      <c r="M11" s="2">
        <f t="shared" si="3"/>
        <v>24.35625</v>
      </c>
    </row>
    <row r="12" spans="1:13">
      <c r="A12">
        <v>3</v>
      </c>
      <c r="B12">
        <f t="shared" si="1"/>
        <v>203.185586597277</v>
      </c>
      <c r="C12">
        <f t="shared" si="1"/>
        <v>89.8164134498812</v>
      </c>
      <c r="D12">
        <f t="shared" si="1"/>
        <v>1000000</v>
      </c>
      <c r="E12">
        <f t="shared" si="1"/>
        <v>1000000</v>
      </c>
      <c r="F12">
        <f t="shared" si="1"/>
        <v>1000000</v>
      </c>
      <c r="G12">
        <f t="shared" si="1"/>
        <v>1000000</v>
      </c>
      <c r="H12">
        <f t="shared" si="2"/>
        <v>2</v>
      </c>
      <c r="J12" s="2">
        <v>9.60625</v>
      </c>
      <c r="K12" s="2">
        <v>203.44375</v>
      </c>
      <c r="L12" s="2">
        <v>64.65625</v>
      </c>
      <c r="M12" s="2">
        <v>24.35625</v>
      </c>
    </row>
    <row r="13" spans="1:8">
      <c r="A13">
        <v>4</v>
      </c>
      <c r="B13">
        <f t="shared" si="1"/>
        <v>1000000</v>
      </c>
      <c r="C13">
        <f t="shared" si="1"/>
        <v>1000000</v>
      </c>
      <c r="D13">
        <f t="shared" si="1"/>
        <v>1000000</v>
      </c>
      <c r="E13">
        <f t="shared" si="1"/>
        <v>1000000</v>
      </c>
      <c r="F13">
        <f t="shared" si="1"/>
        <v>1000000</v>
      </c>
      <c r="G13">
        <f t="shared" si="1"/>
        <v>1000000</v>
      </c>
      <c r="H13" t="e">
        <f t="shared" si="2"/>
        <v>#N/A</v>
      </c>
    </row>
    <row r="14" spans="1:8">
      <c r="A14">
        <v>5</v>
      </c>
      <c r="B14">
        <f t="shared" si="1"/>
        <v>1000000</v>
      </c>
      <c r="C14">
        <f t="shared" si="1"/>
        <v>1000000</v>
      </c>
      <c r="D14">
        <f t="shared" si="1"/>
        <v>1000000</v>
      </c>
      <c r="E14">
        <f t="shared" si="1"/>
        <v>1000000</v>
      </c>
      <c r="F14">
        <f t="shared" si="1"/>
        <v>1000000</v>
      </c>
      <c r="G14">
        <f t="shared" si="1"/>
        <v>1000000</v>
      </c>
      <c r="H14" t="e">
        <f t="shared" si="2"/>
        <v>#N/A</v>
      </c>
    </row>
    <row r="15" spans="1:8">
      <c r="A15">
        <v>6</v>
      </c>
      <c r="B15">
        <f t="shared" si="1"/>
        <v>1000000</v>
      </c>
      <c r="C15">
        <f t="shared" si="1"/>
        <v>1000000</v>
      </c>
      <c r="D15">
        <f t="shared" si="1"/>
        <v>1000000</v>
      </c>
      <c r="E15">
        <f t="shared" si="1"/>
        <v>1000000</v>
      </c>
      <c r="F15">
        <f t="shared" si="1"/>
        <v>1000000</v>
      </c>
      <c r="G15">
        <f t="shared" si="1"/>
        <v>1000000</v>
      </c>
      <c r="H15" t="e">
        <f t="shared" si="2"/>
        <v>#N/A</v>
      </c>
    </row>
    <row r="25" ht="15.75" spans="7:14">
      <c r="G25" s="4"/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4"/>
    </row>
    <row r="26" spans="7:14">
      <c r="G26" s="4"/>
      <c r="H26" s="4" t="s">
        <v>20</v>
      </c>
      <c r="I26" s="4" t="s">
        <v>14</v>
      </c>
      <c r="J26" s="4" t="s">
        <v>22</v>
      </c>
      <c r="K26" s="4" t="s">
        <v>25</v>
      </c>
      <c r="L26" s="4" t="s">
        <v>23</v>
      </c>
      <c r="M26" s="4" t="s">
        <v>15</v>
      </c>
      <c r="N26" s="4"/>
    </row>
    <row r="27" spans="7:14">
      <c r="G27" s="4"/>
      <c r="H27" s="4" t="s">
        <v>24</v>
      </c>
      <c r="I27" s="4" t="s">
        <v>17</v>
      </c>
      <c r="J27" s="4" t="s">
        <v>33</v>
      </c>
      <c r="K27" s="4" t="s">
        <v>29</v>
      </c>
      <c r="L27" s="4" t="s">
        <v>34</v>
      </c>
      <c r="M27" s="4" t="s">
        <v>16</v>
      </c>
      <c r="N27" s="4"/>
    </row>
    <row r="28" spans="7:14">
      <c r="G28" s="4"/>
      <c r="H28" s="4" t="s">
        <v>27</v>
      </c>
      <c r="I28" s="4" t="s">
        <v>19</v>
      </c>
      <c r="J28" s="4" t="s">
        <v>35</v>
      </c>
      <c r="K28" s="4" t="s">
        <v>30</v>
      </c>
      <c r="L28" s="4" t="s">
        <v>43</v>
      </c>
      <c r="M28" s="4" t="s">
        <v>18</v>
      </c>
      <c r="N28" s="4"/>
    </row>
    <row r="29" spans="7:14">
      <c r="G29" s="4"/>
      <c r="H29" s="4" t="s">
        <v>28</v>
      </c>
      <c r="I29" s="4" t="s">
        <v>21</v>
      </c>
      <c r="J29" s="4" t="s">
        <v>46</v>
      </c>
      <c r="K29" s="4" t="s">
        <v>38</v>
      </c>
      <c r="L29" s="4" t="s">
        <v>45</v>
      </c>
      <c r="M29" s="4" t="s">
        <v>26</v>
      </c>
      <c r="N29" s="4"/>
    </row>
    <row r="30" spans="7:14">
      <c r="G30" s="4"/>
      <c r="H30" s="4" t="s">
        <v>32</v>
      </c>
      <c r="I30" s="4" t="s">
        <v>31</v>
      </c>
      <c r="J30" s="4"/>
      <c r="K30" s="4" t="s">
        <v>50</v>
      </c>
      <c r="L30" s="4" t="s">
        <v>48</v>
      </c>
      <c r="M30" s="4" t="s">
        <v>37</v>
      </c>
      <c r="N30" s="4"/>
    </row>
    <row r="31" spans="7:14">
      <c r="G31" s="4"/>
      <c r="H31" s="4" t="s">
        <v>36</v>
      </c>
      <c r="I31" s="4"/>
      <c r="J31" s="4"/>
      <c r="K31" s="4" t="s">
        <v>51</v>
      </c>
      <c r="L31" s="4" t="s">
        <v>49</v>
      </c>
      <c r="M31" s="4" t="s">
        <v>41</v>
      </c>
      <c r="N31" s="4"/>
    </row>
    <row r="32" spans="7:14">
      <c r="G32" s="4"/>
      <c r="H32" s="4" t="s">
        <v>39</v>
      </c>
      <c r="I32" s="4"/>
      <c r="J32" s="4"/>
      <c r="K32" s="4" t="s">
        <v>52</v>
      </c>
      <c r="L32" s="4" t="s">
        <v>56</v>
      </c>
      <c r="M32" s="4" t="s">
        <v>44</v>
      </c>
      <c r="N32" s="4"/>
    </row>
    <row r="33" spans="7:14">
      <c r="G33" s="4"/>
      <c r="H33" s="4" t="s">
        <v>40</v>
      </c>
      <c r="I33" s="4"/>
      <c r="J33" s="4"/>
      <c r="K33" s="4" t="s">
        <v>55</v>
      </c>
      <c r="L33" s="4" t="s">
        <v>63</v>
      </c>
      <c r="M33" s="4" t="s">
        <v>53</v>
      </c>
      <c r="N33" s="4"/>
    </row>
    <row r="34" spans="7:14">
      <c r="G34" s="4"/>
      <c r="H34" s="4" t="s">
        <v>42</v>
      </c>
      <c r="I34" s="4"/>
      <c r="J34" s="4"/>
      <c r="K34" s="4" t="s">
        <v>57</v>
      </c>
      <c r="L34" s="4"/>
      <c r="M34" s="4"/>
      <c r="N34" s="4"/>
    </row>
    <row r="35" spans="7:14">
      <c r="G35" s="4"/>
      <c r="H35" s="4" t="s">
        <v>47</v>
      </c>
      <c r="I35" s="4"/>
      <c r="J35" s="4"/>
      <c r="K35" s="4" t="s">
        <v>59</v>
      </c>
      <c r="L35" s="4"/>
      <c r="M35" s="4"/>
      <c r="N35" s="4"/>
    </row>
    <row r="36" spans="7:14">
      <c r="G36" s="4"/>
      <c r="H36" s="4" t="s">
        <v>54</v>
      </c>
      <c r="I36" s="4"/>
      <c r="J36" s="4"/>
      <c r="K36" s="4" t="s">
        <v>60</v>
      </c>
      <c r="L36" s="4"/>
      <c r="M36" s="4"/>
      <c r="N36" s="4"/>
    </row>
    <row r="37" spans="7:14">
      <c r="G37" s="4"/>
      <c r="H37" s="4" t="s">
        <v>58</v>
      </c>
      <c r="I37" s="4"/>
      <c r="J37" s="4"/>
      <c r="K37" s="4" t="s">
        <v>61</v>
      </c>
      <c r="L37" s="4"/>
      <c r="M37" s="4"/>
      <c r="N37" s="4"/>
    </row>
    <row r="38" spans="7:14">
      <c r="G38" s="4"/>
      <c r="H38" s="4" t="s">
        <v>62</v>
      </c>
      <c r="I38" s="4"/>
      <c r="J38" s="4"/>
      <c r="K38" s="4"/>
      <c r="L38" s="4"/>
      <c r="M38" s="4"/>
      <c r="N38" s="4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F1" sqref="F1:K1"/>
    </sheetView>
  </sheetViews>
  <sheetFormatPr defaultColWidth="9" defaultRowHeight="15"/>
  <cols>
    <col min="2" max="2" width="9.28571428571429" customWidth="1"/>
    <col min="3" max="3" width="9.57142857142857" customWidth="1"/>
    <col min="4" max="5" width="9.28571428571429" customWidth="1"/>
  </cols>
  <sheetData>
    <row r="1" spans="1:11">
      <c r="A1" t="s">
        <v>7</v>
      </c>
      <c r="B1" t="s">
        <v>3</v>
      </c>
      <c r="C1" t="s">
        <v>4</v>
      </c>
      <c r="D1" t="s">
        <v>5</v>
      </c>
      <c r="E1" t="s">
        <v>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0">
      <c r="A2" t="s">
        <v>8</v>
      </c>
      <c r="B2" s="2">
        <v>3.37628205128205</v>
      </c>
      <c r="C2" s="2">
        <v>45.6339743589744</v>
      </c>
      <c r="D2" s="2">
        <v>56.8589743589744</v>
      </c>
      <c r="E2" s="2">
        <v>14.4967948717949</v>
      </c>
      <c r="F2">
        <v>11</v>
      </c>
      <c r="G2">
        <v>11</v>
      </c>
      <c r="H2">
        <v>11</v>
      </c>
      <c r="I2">
        <v>3</v>
      </c>
      <c r="J2">
        <v>3</v>
      </c>
    </row>
    <row r="3" spans="1:10">
      <c r="A3" t="s">
        <v>9</v>
      </c>
      <c r="B3" s="2">
        <v>9.60625</v>
      </c>
      <c r="C3" s="2">
        <v>203.44375</v>
      </c>
      <c r="D3" s="2">
        <v>64.65625</v>
      </c>
      <c r="E3" s="2">
        <v>24.35625</v>
      </c>
      <c r="F3">
        <v>12</v>
      </c>
      <c r="G3">
        <v>1</v>
      </c>
      <c r="H3">
        <v>1</v>
      </c>
      <c r="I3">
        <v>1</v>
      </c>
      <c r="J3">
        <v>1</v>
      </c>
    </row>
    <row r="4" spans="1:10">
      <c r="A4" t="s">
        <v>10</v>
      </c>
      <c r="B4" s="2"/>
      <c r="C4" s="2"/>
      <c r="D4" s="2"/>
      <c r="E4" s="2"/>
      <c r="F4">
        <v>13</v>
      </c>
      <c r="G4">
        <v>13</v>
      </c>
      <c r="H4">
        <v>2</v>
      </c>
      <c r="I4">
        <v>2</v>
      </c>
      <c r="J4">
        <v>1</v>
      </c>
    </row>
    <row r="5" spans="1:10">
      <c r="A5" t="s">
        <v>11</v>
      </c>
      <c r="B5" s="2"/>
      <c r="C5" s="2"/>
      <c r="D5" s="2"/>
      <c r="E5" s="2"/>
      <c r="F5">
        <v>14</v>
      </c>
      <c r="G5">
        <v>14</v>
      </c>
      <c r="H5">
        <v>14</v>
      </c>
      <c r="I5">
        <v>3</v>
      </c>
      <c r="J5">
        <v>3</v>
      </c>
    </row>
    <row r="6" spans="1:10">
      <c r="A6" t="s">
        <v>12</v>
      </c>
      <c r="B6" s="2"/>
      <c r="C6" s="2"/>
      <c r="D6" s="2"/>
      <c r="E6" s="2"/>
      <c r="F6">
        <v>15</v>
      </c>
      <c r="G6">
        <v>1</v>
      </c>
      <c r="H6">
        <v>1</v>
      </c>
      <c r="I6">
        <v>1</v>
      </c>
      <c r="J6">
        <v>1</v>
      </c>
    </row>
    <row r="7" spans="1:10">
      <c r="A7" t="s">
        <v>13</v>
      </c>
      <c r="B7" s="2"/>
      <c r="C7" s="2"/>
      <c r="D7" s="2"/>
      <c r="E7" s="2"/>
      <c r="F7">
        <v>16</v>
      </c>
      <c r="G7">
        <v>16</v>
      </c>
      <c r="H7">
        <v>2</v>
      </c>
      <c r="I7">
        <v>2</v>
      </c>
      <c r="J7">
        <v>1</v>
      </c>
    </row>
    <row r="9" spans="2:7">
      <c r="B9">
        <v>1</v>
      </c>
      <c r="C9">
        <v>2</v>
      </c>
      <c r="D9">
        <v>3</v>
      </c>
      <c r="E9">
        <v>4</v>
      </c>
      <c r="F9">
        <v>5</v>
      </c>
      <c r="G9">
        <v>6</v>
      </c>
    </row>
    <row r="10" spans="1:8">
      <c r="A10">
        <v>1</v>
      </c>
      <c r="B10">
        <f>IFERROR(IF($A10=B$9,1000000,SQRT(SUMXMY2($B2:$E2,INDEX($B$2:$E$7,B$9,0)))),1000000)</f>
        <v>1000000</v>
      </c>
      <c r="C10">
        <f t="shared" ref="C10:G10" si="0">IFERROR(IF($A10=C$9,1000000,SQRT(SUMXMY2($B2:$E2,INDEX($B$2:$E$7,C$9,0)))),1000000)</f>
        <v>158.43214368101</v>
      </c>
      <c r="D10">
        <f t="shared" si="0"/>
        <v>1000000</v>
      </c>
      <c r="E10">
        <f t="shared" si="0"/>
        <v>1000000</v>
      </c>
      <c r="F10">
        <f t="shared" si="0"/>
        <v>1000000</v>
      </c>
      <c r="G10">
        <f t="shared" si="0"/>
        <v>1000000</v>
      </c>
      <c r="H10">
        <f>MATCH(MIN(B$10:G$15),B10:G10,0)</f>
        <v>2</v>
      </c>
    </row>
    <row r="11" spans="1:13">
      <c r="A11">
        <v>2</v>
      </c>
      <c r="B11">
        <f t="shared" ref="B11:G15" si="1">IFERROR(IF($A11=B$9,1000000,SQRT(SUMXMY2($B3:$E3,INDEX($B$2:$E$7,B$9,0)))),1000000)</f>
        <v>158.43214368101</v>
      </c>
      <c r="C11">
        <f t="shared" si="1"/>
        <v>1000000</v>
      </c>
      <c r="D11">
        <f t="shared" si="1"/>
        <v>1000000</v>
      </c>
      <c r="E11">
        <f t="shared" si="1"/>
        <v>1000000</v>
      </c>
      <c r="F11">
        <f t="shared" si="1"/>
        <v>1000000</v>
      </c>
      <c r="G11">
        <f t="shared" si="1"/>
        <v>1000000</v>
      </c>
      <c r="H11">
        <f t="shared" ref="H11:H15" si="2">MATCH(MIN(B$10:G$15),B11:G11,0)</f>
        <v>1</v>
      </c>
      <c r="J11" s="2">
        <f>SUM(B3*2,B4*2)/4</f>
        <v>4.803125</v>
      </c>
      <c r="K11" s="2">
        <f t="shared" ref="K11:M11" si="3">SUM(C3*2,C4*2)/4</f>
        <v>101.721875</v>
      </c>
      <c r="L11" s="2">
        <f t="shared" si="3"/>
        <v>32.328125</v>
      </c>
      <c r="M11" s="2">
        <f t="shared" si="3"/>
        <v>12.178125</v>
      </c>
    </row>
    <row r="12" spans="1:13">
      <c r="A12">
        <v>3</v>
      </c>
      <c r="B12">
        <f t="shared" si="1"/>
        <v>1000000</v>
      </c>
      <c r="C12">
        <f t="shared" si="1"/>
        <v>1000000</v>
      </c>
      <c r="D12">
        <f t="shared" si="1"/>
        <v>1000000</v>
      </c>
      <c r="E12">
        <f t="shared" si="1"/>
        <v>1000000</v>
      </c>
      <c r="F12">
        <f t="shared" si="1"/>
        <v>1000000</v>
      </c>
      <c r="G12">
        <f t="shared" si="1"/>
        <v>1000000</v>
      </c>
      <c r="H12" t="e">
        <f t="shared" si="2"/>
        <v>#N/A</v>
      </c>
      <c r="J12" s="2">
        <v>9.60625</v>
      </c>
      <c r="K12" s="2">
        <v>203.44375</v>
      </c>
      <c r="L12" s="2">
        <v>64.65625</v>
      </c>
      <c r="M12" s="2">
        <v>24.35625</v>
      </c>
    </row>
    <row r="13" spans="1:8">
      <c r="A13">
        <v>4</v>
      </c>
      <c r="B13">
        <f t="shared" si="1"/>
        <v>1000000</v>
      </c>
      <c r="C13">
        <f t="shared" si="1"/>
        <v>1000000</v>
      </c>
      <c r="D13">
        <f t="shared" si="1"/>
        <v>1000000</v>
      </c>
      <c r="E13">
        <f t="shared" si="1"/>
        <v>1000000</v>
      </c>
      <c r="F13">
        <f t="shared" si="1"/>
        <v>1000000</v>
      </c>
      <c r="G13">
        <f t="shared" si="1"/>
        <v>1000000</v>
      </c>
      <c r="H13" t="e">
        <f t="shared" si="2"/>
        <v>#N/A</v>
      </c>
    </row>
    <row r="14" spans="1:8">
      <c r="A14">
        <v>5</v>
      </c>
      <c r="B14">
        <f t="shared" si="1"/>
        <v>1000000</v>
      </c>
      <c r="C14">
        <f t="shared" si="1"/>
        <v>1000000</v>
      </c>
      <c r="D14">
        <f t="shared" si="1"/>
        <v>1000000</v>
      </c>
      <c r="E14">
        <f t="shared" si="1"/>
        <v>1000000</v>
      </c>
      <c r="F14">
        <f t="shared" si="1"/>
        <v>1000000</v>
      </c>
      <c r="G14">
        <f t="shared" si="1"/>
        <v>1000000</v>
      </c>
      <c r="H14" t="e">
        <f t="shared" si="2"/>
        <v>#N/A</v>
      </c>
    </row>
    <row r="15" spans="1:8">
      <c r="A15">
        <v>6</v>
      </c>
      <c r="B15">
        <f t="shared" si="1"/>
        <v>1000000</v>
      </c>
      <c r="C15">
        <f t="shared" si="1"/>
        <v>1000000</v>
      </c>
      <c r="D15">
        <f t="shared" si="1"/>
        <v>1000000</v>
      </c>
      <c r="E15">
        <f t="shared" si="1"/>
        <v>1000000</v>
      </c>
      <c r="F15">
        <f t="shared" si="1"/>
        <v>1000000</v>
      </c>
      <c r="G15">
        <f t="shared" si="1"/>
        <v>1000000</v>
      </c>
      <c r="H15" t="e">
        <f t="shared" si="2"/>
        <v>#N/A</v>
      </c>
    </row>
    <row r="25" ht="15.75" spans="7:14">
      <c r="G25" s="4"/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4"/>
    </row>
    <row r="26" spans="7:14">
      <c r="G26" s="4"/>
      <c r="H26" s="4" t="s">
        <v>20</v>
      </c>
      <c r="I26" s="4" t="s">
        <v>14</v>
      </c>
      <c r="J26" s="4" t="s">
        <v>22</v>
      </c>
      <c r="K26" s="4" t="s">
        <v>25</v>
      </c>
      <c r="L26" s="4" t="s">
        <v>23</v>
      </c>
      <c r="M26" s="4" t="s">
        <v>15</v>
      </c>
      <c r="N26" s="4"/>
    </row>
    <row r="27" spans="7:14">
      <c r="G27" s="4"/>
      <c r="H27" s="4" t="s">
        <v>24</v>
      </c>
      <c r="I27" s="4" t="s">
        <v>17</v>
      </c>
      <c r="J27" s="4" t="s">
        <v>33</v>
      </c>
      <c r="K27" s="4" t="s">
        <v>29</v>
      </c>
      <c r="L27" s="4" t="s">
        <v>34</v>
      </c>
      <c r="M27" s="4" t="s">
        <v>16</v>
      </c>
      <c r="N27" s="4"/>
    </row>
    <row r="28" spans="7:14">
      <c r="G28" s="4"/>
      <c r="H28" s="4" t="s">
        <v>27</v>
      </c>
      <c r="I28" s="4" t="s">
        <v>19</v>
      </c>
      <c r="J28" s="4" t="s">
        <v>35</v>
      </c>
      <c r="K28" s="4" t="s">
        <v>30</v>
      </c>
      <c r="L28" s="4" t="s">
        <v>43</v>
      </c>
      <c r="M28" s="4" t="s">
        <v>18</v>
      </c>
      <c r="N28" s="4"/>
    </row>
    <row r="29" spans="7:14">
      <c r="G29" s="4"/>
      <c r="H29" s="4" t="s">
        <v>28</v>
      </c>
      <c r="I29" s="4" t="s">
        <v>21</v>
      </c>
      <c r="J29" s="4" t="s">
        <v>46</v>
      </c>
      <c r="K29" s="4" t="s">
        <v>38</v>
      </c>
      <c r="L29" s="4" t="s">
        <v>45</v>
      </c>
      <c r="M29" s="4" t="s">
        <v>26</v>
      </c>
      <c r="N29" s="4"/>
    </row>
    <row r="30" spans="7:14">
      <c r="G30" s="4"/>
      <c r="H30" s="4" t="s">
        <v>32</v>
      </c>
      <c r="I30" s="4" t="s">
        <v>31</v>
      </c>
      <c r="J30" s="4"/>
      <c r="K30" s="4" t="s">
        <v>50</v>
      </c>
      <c r="L30" s="4" t="s">
        <v>48</v>
      </c>
      <c r="M30" s="4" t="s">
        <v>37</v>
      </c>
      <c r="N30" s="4"/>
    </row>
    <row r="31" spans="7:14">
      <c r="G31" s="4"/>
      <c r="H31" s="4" t="s">
        <v>36</v>
      </c>
      <c r="I31" s="4"/>
      <c r="J31" s="4"/>
      <c r="K31" s="4" t="s">
        <v>51</v>
      </c>
      <c r="L31" s="4" t="s">
        <v>49</v>
      </c>
      <c r="M31" s="4" t="s">
        <v>41</v>
      </c>
      <c r="N31" s="4"/>
    </row>
    <row r="32" spans="7:14">
      <c r="G32" s="4"/>
      <c r="H32" s="4" t="s">
        <v>39</v>
      </c>
      <c r="I32" s="4"/>
      <c r="J32" s="4"/>
      <c r="K32" s="4" t="s">
        <v>52</v>
      </c>
      <c r="L32" s="4" t="s">
        <v>56</v>
      </c>
      <c r="M32" s="4" t="s">
        <v>44</v>
      </c>
      <c r="N32" s="4"/>
    </row>
    <row r="33" spans="7:14">
      <c r="G33" s="4"/>
      <c r="H33" s="4" t="s">
        <v>40</v>
      </c>
      <c r="I33" s="4"/>
      <c r="J33" s="4"/>
      <c r="K33" s="4" t="s">
        <v>55</v>
      </c>
      <c r="L33" s="4" t="s">
        <v>63</v>
      </c>
      <c r="M33" s="4" t="s">
        <v>53</v>
      </c>
      <c r="N33" s="4"/>
    </row>
    <row r="34" spans="7:14">
      <c r="G34" s="4"/>
      <c r="H34" s="4" t="s">
        <v>42</v>
      </c>
      <c r="I34" s="4"/>
      <c r="J34" s="4"/>
      <c r="K34" s="4" t="s">
        <v>57</v>
      </c>
      <c r="L34" s="4"/>
      <c r="M34" s="4"/>
      <c r="N34" s="4"/>
    </row>
    <row r="35" spans="7:14">
      <c r="G35" s="4"/>
      <c r="H35" s="4" t="s">
        <v>47</v>
      </c>
      <c r="I35" s="4"/>
      <c r="J35" s="4"/>
      <c r="K35" s="4" t="s">
        <v>59</v>
      </c>
      <c r="L35" s="4"/>
      <c r="M35" s="4"/>
      <c r="N35" s="4"/>
    </row>
    <row r="36" spans="7:14">
      <c r="G36" s="4"/>
      <c r="H36" s="4" t="s">
        <v>54</v>
      </c>
      <c r="I36" s="4"/>
      <c r="J36" s="4"/>
      <c r="K36" s="4" t="s">
        <v>60</v>
      </c>
      <c r="L36" s="4"/>
      <c r="M36" s="4"/>
      <c r="N36" s="4"/>
    </row>
    <row r="37" spans="7:14">
      <c r="G37" s="4"/>
      <c r="H37" s="4" t="s">
        <v>58</v>
      </c>
      <c r="I37" s="4"/>
      <c r="J37" s="4"/>
      <c r="K37" s="4" t="s">
        <v>61</v>
      </c>
      <c r="L37" s="4"/>
      <c r="M37" s="4"/>
      <c r="N37" s="4"/>
    </row>
    <row r="38" spans="7:14">
      <c r="G38" s="4"/>
      <c r="H38" s="4" t="s">
        <v>62</v>
      </c>
      <c r="I38" s="4"/>
      <c r="J38" s="4"/>
      <c r="K38" s="4"/>
      <c r="L38" s="4"/>
      <c r="M38" s="4"/>
      <c r="N38" s="4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workbookViewId="0">
      <selection activeCell="B31" sqref="B31"/>
    </sheetView>
  </sheetViews>
  <sheetFormatPr defaultColWidth="9" defaultRowHeight="15"/>
  <cols>
    <col min="2" max="2" width="9.28571428571429" customWidth="1"/>
    <col min="3" max="3" width="9.57142857142857" customWidth="1"/>
    <col min="4" max="5" width="9.28571428571429" customWidth="1"/>
  </cols>
  <sheetData>
    <row r="1" spans="1:16">
      <c r="A1" t="s">
        <v>7</v>
      </c>
      <c r="B1" t="s">
        <v>3</v>
      </c>
      <c r="C1" t="s">
        <v>4</v>
      </c>
      <c r="D1" t="s">
        <v>5</v>
      </c>
      <c r="E1" t="s">
        <v>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O1" t="s">
        <v>73</v>
      </c>
      <c r="P1" t="s">
        <v>74</v>
      </c>
    </row>
    <row r="2" spans="1:16">
      <c r="A2" t="s">
        <v>9</v>
      </c>
      <c r="B2" s="2">
        <v>9.60625</v>
      </c>
      <c r="C2" s="2">
        <v>203.44375</v>
      </c>
      <c r="D2" s="2">
        <v>64.65625</v>
      </c>
      <c r="E2" s="2">
        <v>24.35625</v>
      </c>
      <c r="F2">
        <v>12</v>
      </c>
      <c r="G2">
        <v>1</v>
      </c>
      <c r="H2">
        <v>1</v>
      </c>
      <c r="I2">
        <v>1</v>
      </c>
      <c r="J2">
        <v>1</v>
      </c>
      <c r="K2">
        <v>1</v>
      </c>
      <c r="O2">
        <v>1</v>
      </c>
      <c r="P2">
        <v>0</v>
      </c>
    </row>
    <row r="3" spans="1:16">
      <c r="A3" t="s">
        <v>12</v>
      </c>
      <c r="B3" s="2"/>
      <c r="C3" s="2"/>
      <c r="D3" s="2"/>
      <c r="E3" s="2"/>
      <c r="F3">
        <v>15</v>
      </c>
      <c r="G3">
        <v>1</v>
      </c>
      <c r="H3">
        <v>1</v>
      </c>
      <c r="I3">
        <v>1</v>
      </c>
      <c r="J3">
        <v>1</v>
      </c>
      <c r="K3">
        <v>1</v>
      </c>
      <c r="O3">
        <v>1</v>
      </c>
      <c r="P3">
        <v>1</v>
      </c>
    </row>
    <row r="4" spans="1:16">
      <c r="A4" t="s">
        <v>10</v>
      </c>
      <c r="B4" s="2"/>
      <c r="C4" s="2"/>
      <c r="D4" s="2"/>
      <c r="E4" s="2"/>
      <c r="F4">
        <v>13</v>
      </c>
      <c r="G4">
        <v>13</v>
      </c>
      <c r="H4">
        <v>2</v>
      </c>
      <c r="I4">
        <v>2</v>
      </c>
      <c r="J4">
        <v>1</v>
      </c>
      <c r="K4">
        <v>1</v>
      </c>
      <c r="O4">
        <v>3</v>
      </c>
      <c r="P4">
        <v>1</v>
      </c>
    </row>
    <row r="5" spans="1:16">
      <c r="A5" t="s">
        <v>13</v>
      </c>
      <c r="B5" s="2"/>
      <c r="C5" s="2"/>
      <c r="D5" s="2"/>
      <c r="E5" s="2"/>
      <c r="F5">
        <v>16</v>
      </c>
      <c r="G5">
        <v>16</v>
      </c>
      <c r="H5">
        <v>2</v>
      </c>
      <c r="I5">
        <v>2</v>
      </c>
      <c r="J5">
        <v>1</v>
      </c>
      <c r="K5">
        <v>1</v>
      </c>
      <c r="O5">
        <v>3</v>
      </c>
      <c r="P5">
        <v>0</v>
      </c>
    </row>
    <row r="6" spans="1:16">
      <c r="A6" t="s">
        <v>8</v>
      </c>
      <c r="B6" s="2">
        <v>3.37628205128205</v>
      </c>
      <c r="C6" s="2">
        <v>45.6339743589744</v>
      </c>
      <c r="D6" s="2">
        <v>56.8589743589744</v>
      </c>
      <c r="E6" s="2">
        <v>14.4967948717949</v>
      </c>
      <c r="F6">
        <v>11</v>
      </c>
      <c r="G6">
        <v>11</v>
      </c>
      <c r="H6">
        <v>11</v>
      </c>
      <c r="I6">
        <v>3</v>
      </c>
      <c r="J6">
        <v>3</v>
      </c>
      <c r="K6">
        <v>1</v>
      </c>
      <c r="O6">
        <v>3</v>
      </c>
      <c r="P6">
        <v>1</v>
      </c>
    </row>
    <row r="7" spans="1:16">
      <c r="A7" t="s">
        <v>11</v>
      </c>
      <c r="B7" s="2"/>
      <c r="C7" s="2"/>
      <c r="D7" s="2"/>
      <c r="E7" s="2"/>
      <c r="F7">
        <v>14</v>
      </c>
      <c r="G7">
        <v>14</v>
      </c>
      <c r="H7">
        <v>14</v>
      </c>
      <c r="I7">
        <v>3</v>
      </c>
      <c r="J7">
        <v>3</v>
      </c>
      <c r="K7">
        <v>1</v>
      </c>
      <c r="O7">
        <v>2</v>
      </c>
      <c r="P7">
        <v>1</v>
      </c>
    </row>
    <row r="8" spans="15:16">
      <c r="O8">
        <v>2</v>
      </c>
      <c r="P8">
        <v>3</v>
      </c>
    </row>
    <row r="9" spans="15:16">
      <c r="O9">
        <v>5</v>
      </c>
      <c r="P9">
        <v>3</v>
      </c>
    </row>
    <row r="10" spans="15:16">
      <c r="O10">
        <v>5</v>
      </c>
      <c r="P10">
        <v>2</v>
      </c>
    </row>
    <row r="11" spans="10:16">
      <c r="J11" s="2"/>
      <c r="K11" s="2"/>
      <c r="L11" s="2"/>
      <c r="M11" s="2"/>
      <c r="O11">
        <v>4</v>
      </c>
      <c r="P11">
        <v>2</v>
      </c>
    </row>
    <row r="12" spans="6:16">
      <c r="F12" s="3"/>
      <c r="L12" s="2"/>
      <c r="M12" s="2"/>
      <c r="O12" s="6">
        <v>4</v>
      </c>
      <c r="P12" s="6">
        <v>0</v>
      </c>
    </row>
    <row r="13" spans="2:16">
      <c r="B13" s="2"/>
      <c r="C13" s="2"/>
      <c r="D13" s="2"/>
      <c r="E13" s="2"/>
      <c r="O13" s="6">
        <v>4</v>
      </c>
      <c r="P13" s="6">
        <v>2</v>
      </c>
    </row>
    <row r="14" spans="2:16">
      <c r="B14" s="2"/>
      <c r="C14" s="2"/>
      <c r="D14" s="2"/>
      <c r="E14" s="2"/>
      <c r="O14" s="6">
        <v>6</v>
      </c>
      <c r="P14" s="6">
        <v>2</v>
      </c>
    </row>
    <row r="15" spans="2:16">
      <c r="B15" s="2"/>
      <c r="C15" s="2"/>
      <c r="D15" s="2"/>
      <c r="E15" s="2"/>
      <c r="O15" s="6">
        <v>6</v>
      </c>
      <c r="P15" s="6">
        <v>0</v>
      </c>
    </row>
    <row r="16" spans="2:16">
      <c r="B16" s="2"/>
      <c r="C16" s="2"/>
      <c r="D16" s="2"/>
      <c r="E16" s="2"/>
      <c r="O16" s="6">
        <v>6</v>
      </c>
      <c r="P16" s="6">
        <v>2</v>
      </c>
    </row>
    <row r="17" spans="2:16">
      <c r="B17" s="2"/>
      <c r="C17" s="2"/>
      <c r="D17" s="2"/>
      <c r="E17" s="2"/>
      <c r="O17" s="6">
        <v>5</v>
      </c>
      <c r="P17" s="6">
        <v>2</v>
      </c>
    </row>
    <row r="18" spans="2:16">
      <c r="B18" s="2"/>
      <c r="C18" s="2"/>
      <c r="D18" s="2"/>
      <c r="E18" s="2"/>
      <c r="O18" s="6">
        <v>5</v>
      </c>
      <c r="P18" s="6">
        <v>3</v>
      </c>
    </row>
    <row r="19" spans="15:16">
      <c r="O19" s="6">
        <v>4</v>
      </c>
      <c r="P19" s="6">
        <v>3</v>
      </c>
    </row>
    <row r="20" spans="15:16">
      <c r="O20" s="6">
        <v>4</v>
      </c>
      <c r="P20" s="6">
        <v>5</v>
      </c>
    </row>
    <row r="21" spans="15:16">
      <c r="O21" s="6">
        <v>9</v>
      </c>
      <c r="P21" s="6">
        <v>5</v>
      </c>
    </row>
    <row r="22" spans="15:16">
      <c r="O22" s="6">
        <v>9</v>
      </c>
      <c r="P22" s="6">
        <v>4</v>
      </c>
    </row>
    <row r="23" spans="15:16">
      <c r="O23" s="6">
        <v>8</v>
      </c>
      <c r="P23" s="6">
        <v>4</v>
      </c>
    </row>
    <row r="24" spans="15:16">
      <c r="O24" s="6">
        <v>8</v>
      </c>
      <c r="P24" s="6">
        <v>0</v>
      </c>
    </row>
    <row r="25" ht="15.75" spans="7:16">
      <c r="G25" s="4"/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4"/>
      <c r="O25" s="6">
        <v>8</v>
      </c>
      <c r="P25" s="6">
        <v>4</v>
      </c>
    </row>
    <row r="26" spans="7:16">
      <c r="G26" s="4"/>
      <c r="H26" s="4" t="s">
        <v>20</v>
      </c>
      <c r="I26" s="4" t="s">
        <v>14</v>
      </c>
      <c r="J26" s="4" t="s">
        <v>22</v>
      </c>
      <c r="K26" s="4" t="s">
        <v>25</v>
      </c>
      <c r="L26" s="4" t="s">
        <v>23</v>
      </c>
      <c r="M26" s="4" t="s">
        <v>15</v>
      </c>
      <c r="N26" s="4"/>
      <c r="O26" s="6">
        <v>10</v>
      </c>
      <c r="P26" s="6">
        <v>4</v>
      </c>
    </row>
    <row r="27" spans="7:16">
      <c r="G27" s="4"/>
      <c r="H27" s="4" t="s">
        <v>24</v>
      </c>
      <c r="I27" s="4" t="s">
        <v>17</v>
      </c>
      <c r="J27" s="4" t="s">
        <v>33</v>
      </c>
      <c r="K27" s="4" t="s">
        <v>29</v>
      </c>
      <c r="L27" s="4" t="s">
        <v>34</v>
      </c>
      <c r="M27" s="4" t="s">
        <v>16</v>
      </c>
      <c r="N27" s="4"/>
      <c r="O27" s="6">
        <v>10</v>
      </c>
      <c r="P27" s="6">
        <v>0</v>
      </c>
    </row>
    <row r="28" spans="7:16">
      <c r="G28" s="4"/>
      <c r="H28" s="4" t="s">
        <v>27</v>
      </c>
      <c r="I28" s="4" t="s">
        <v>19</v>
      </c>
      <c r="J28" s="4" t="s">
        <v>35</v>
      </c>
      <c r="K28" s="4" t="s">
        <v>30</v>
      </c>
      <c r="L28" s="4" t="s">
        <v>43</v>
      </c>
      <c r="M28" s="4" t="s">
        <v>18</v>
      </c>
      <c r="N28" s="4"/>
      <c r="O28" s="6">
        <v>10</v>
      </c>
      <c r="P28" s="6">
        <v>4</v>
      </c>
    </row>
    <row r="29" spans="7:16">
      <c r="G29" s="4"/>
      <c r="H29" s="4" t="s">
        <v>28</v>
      </c>
      <c r="I29" s="4" t="s">
        <v>21</v>
      </c>
      <c r="J29" s="4" t="s">
        <v>46</v>
      </c>
      <c r="K29" s="4" t="s">
        <v>38</v>
      </c>
      <c r="L29" s="4" t="s">
        <v>45</v>
      </c>
      <c r="M29" s="4" t="s">
        <v>26</v>
      </c>
      <c r="N29" s="4"/>
      <c r="O29" s="6">
        <v>9</v>
      </c>
      <c r="P29" s="6">
        <v>4</v>
      </c>
    </row>
    <row r="30" spans="7:16">
      <c r="G30" s="4"/>
      <c r="H30" s="4" t="s">
        <v>32</v>
      </c>
      <c r="I30" s="4" t="s">
        <v>31</v>
      </c>
      <c r="J30" s="4"/>
      <c r="K30" s="4" t="s">
        <v>50</v>
      </c>
      <c r="L30" s="4" t="s">
        <v>48</v>
      </c>
      <c r="M30" s="4" t="s">
        <v>37</v>
      </c>
      <c r="N30" s="4"/>
      <c r="O30" s="6">
        <v>9</v>
      </c>
      <c r="P30" s="6">
        <v>5</v>
      </c>
    </row>
    <row r="31" spans="7:16">
      <c r="G31" s="4"/>
      <c r="H31" s="4" t="s">
        <v>36</v>
      </c>
      <c r="I31" s="4"/>
      <c r="J31" s="4"/>
      <c r="K31" s="4" t="s">
        <v>51</v>
      </c>
      <c r="L31" s="4" t="s">
        <v>49</v>
      </c>
      <c r="M31" s="4" t="s">
        <v>41</v>
      </c>
      <c r="N31" s="4"/>
      <c r="O31" s="6">
        <v>6</v>
      </c>
      <c r="P31" s="6">
        <v>5</v>
      </c>
    </row>
    <row r="32" spans="7:16">
      <c r="G32" s="4"/>
      <c r="H32" s="4" t="s">
        <v>39</v>
      </c>
      <c r="I32" s="4"/>
      <c r="J32" s="4"/>
      <c r="K32" s="4" t="s">
        <v>52</v>
      </c>
      <c r="L32" s="4" t="s">
        <v>56</v>
      </c>
      <c r="M32" s="4" t="s">
        <v>44</v>
      </c>
      <c r="N32" s="4"/>
      <c r="O32" s="6">
        <v>6</v>
      </c>
      <c r="P32" s="6">
        <v>6</v>
      </c>
    </row>
    <row r="33" spans="7:16">
      <c r="G33" s="4"/>
      <c r="H33" s="4" t="s">
        <v>40</v>
      </c>
      <c r="I33" s="4"/>
      <c r="J33" s="4"/>
      <c r="K33" s="4" t="s">
        <v>55</v>
      </c>
      <c r="L33" s="4" t="s">
        <v>63</v>
      </c>
      <c r="M33" s="4" t="s">
        <v>53</v>
      </c>
      <c r="N33" s="4"/>
      <c r="O33" s="6"/>
      <c r="P33" s="6"/>
    </row>
    <row r="34" spans="7:16">
      <c r="G34" s="4"/>
      <c r="H34" s="4" t="s">
        <v>42</v>
      </c>
      <c r="I34" s="4"/>
      <c r="J34" s="4"/>
      <c r="K34" s="4" t="s">
        <v>57</v>
      </c>
      <c r="L34" s="4"/>
      <c r="M34" s="4"/>
      <c r="N34" s="4"/>
      <c r="O34" s="6"/>
      <c r="P34" s="6"/>
    </row>
    <row r="35" spans="7:16">
      <c r="G35" s="4"/>
      <c r="H35" s="4" t="s">
        <v>47</v>
      </c>
      <c r="I35" s="4"/>
      <c r="J35" s="4"/>
      <c r="K35" s="4" t="s">
        <v>59</v>
      </c>
      <c r="L35" s="4"/>
      <c r="M35" s="4"/>
      <c r="N35" s="4"/>
      <c r="O35" s="6"/>
      <c r="P35" s="6"/>
    </row>
    <row r="36" spans="7:14">
      <c r="G36" s="4"/>
      <c r="H36" s="4" t="s">
        <v>54</v>
      </c>
      <c r="I36" s="4"/>
      <c r="J36" s="4"/>
      <c r="K36" s="4" t="s">
        <v>60</v>
      </c>
      <c r="L36" s="4"/>
      <c r="M36" s="4"/>
      <c r="N36" s="4"/>
    </row>
    <row r="37" spans="7:14">
      <c r="G37" s="4"/>
      <c r="H37" s="4" t="s">
        <v>58</v>
      </c>
      <c r="I37" s="4"/>
      <c r="J37" s="4"/>
      <c r="K37" s="4" t="s">
        <v>61</v>
      </c>
      <c r="L37" s="4"/>
      <c r="M37" s="4"/>
      <c r="N37" s="4"/>
    </row>
    <row r="38" spans="7:14">
      <c r="G38" s="4"/>
      <c r="H38" s="4" t="s">
        <v>62</v>
      </c>
      <c r="I38" s="4"/>
      <c r="J38" s="4"/>
      <c r="K38" s="4"/>
      <c r="L38" s="4"/>
      <c r="M38" s="4"/>
      <c r="N38" s="4"/>
    </row>
  </sheetData>
  <sortState ref="A2:K7">
    <sortCondition ref="J2:J7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hc-1</vt:lpstr>
      <vt:lpstr>hc-2</vt:lpstr>
      <vt:lpstr>hc-3</vt:lpstr>
      <vt:lpstr>hc-4</vt:lpstr>
      <vt:lpstr>hc-5</vt:lpstr>
      <vt:lpstr>hc-6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2019-10-16T22:27:00Z</dcterms:created>
  <dcterms:modified xsi:type="dcterms:W3CDTF">2025-12-08T01:32:52Z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7FA620221D934B70A0E0E8F1249FF2B7_12</vt:lpwstr>
  </property>
  <property fmtid="{D5CDD505-2E9C-101B-9397-08002B2CF9AE}" pid="3" name="KSOProductBuildVer">
    <vt:lpwstr>1033-12.2.0.23155</vt:lpwstr>
  </property>
</Properties>
</file>