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activeTab="2"/>
  </bookViews>
  <sheets>
    <sheet name="Hierarchical Clustering" sheetId="1" r:id="rId1"/>
    <sheet name="Dendrogram" sheetId="2" r:id="rId2"/>
    <sheet name="Step-1" sheetId="3" r:id="rId3"/>
    <sheet name="Step-2" sheetId="4" r:id="rId4"/>
    <sheet name="Step-3" sheetId="5" r:id="rId5"/>
    <sheet name="Step-4" sheetId="6" r:id="rId6"/>
    <sheet name="Step-5" sheetId="7" r:id="rId7"/>
    <sheet name="Step-6" sheetId="8" r:id="rId8"/>
    <sheet name="Step-7" sheetId="9" r:id="rId9"/>
    <sheet name="Step-8" sheetId="10" r:id="rId10"/>
    <sheet name="Step-9" sheetId="11" r:id="rId11"/>
    <sheet name="Step-10" sheetId="12" r:id="rId12"/>
    <sheet name="Sorted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<sst xmlns="http://schemas.openxmlformats.org/spreadsheetml/2006/main" count="340" uniqueCount="28">
  <si>
    <t>Fixed</t>
  </si>
  <si>
    <t>Country</t>
  </si>
  <si>
    <t>Murder</t>
  </si>
  <si>
    <t>Assault</t>
  </si>
  <si>
    <t>UrbanPop</t>
  </si>
  <si>
    <t>Rape</t>
  </si>
  <si>
    <t>Step-1</t>
  </si>
  <si>
    <t>Step-2</t>
  </si>
  <si>
    <t>Step-3</t>
  </si>
  <si>
    <t>Step-4</t>
  </si>
  <si>
    <t>Step-5</t>
  </si>
  <si>
    <t>Step-6</t>
  </si>
  <si>
    <t>Step-7</t>
  </si>
  <si>
    <t>Step-8</t>
  </si>
  <si>
    <t>Step-9</t>
  </si>
  <si>
    <t>Step-10</t>
  </si>
  <si>
    <t>L1</t>
  </si>
  <si>
    <t>L4</t>
  </si>
  <si>
    <t>L8</t>
  </si>
  <si>
    <t>L6</t>
  </si>
  <si>
    <t>L10</t>
  </si>
  <si>
    <t>L3</t>
  </si>
  <si>
    <t>L5</t>
  </si>
  <si>
    <t>L9</t>
  </si>
  <si>
    <t>L2</t>
  </si>
  <si>
    <t>L7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</si>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</sst>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7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 Light"/>
      <charset val="134"/>
      <scheme val="major"/>
    </font>
    <font>
      <sz val="11"/>
      <color rgb="FFFF0000"/>
      <name val="Calibri Light"/>
      <charset val="134"/>
      <scheme val="major"/>
    </font>
    <font>
      <b/>
      <sz val="11"/>
      <color rgb="FFFF0000"/>
      <name val="Calibri Light"/>
      <charset val="134"/>
      <scheme val="major"/>
    </font>
    <font>
      <b/>
      <sz val="11"/>
      <color theme="1"/>
      <name val="Calibri Light"/>
      <charset val="134"/>
      <scheme val="major"/>
    </font>
    <font>
      <sz val="11"/>
      <name val="Calibri Light"/>
      <charset val="134"/>
      <scheme val="maj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/>
    <xf numFmtId="0" fontId="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8" fillId="4" borderId="8" applyNumberFormat="0" applyAlignment="0" applyProtection="0"/>
    <xf numFmtId="0" fontId="19" fillId="5" borderId="9" applyNumberFormat="0" applyAlignment="0" applyProtection="0"/>
    <xf numFmtId="0" fontId="20" fillId="5" borderId="8" applyNumberFormat="0" applyAlignment="0" applyProtection="0"/>
    <xf numFmtId="0" fontId="21" fillId="6" borderId="10" applyNumberFormat="0" applyAlignment="0" applyProtection="0"/>
    <xf numFmtId="0" fontId="22" fillId="0" borderId="11" applyNumberFormat="0" applyFill="0" applyAlignment="0" applyProtection="0"/>
    <xf numFmtId="0" fontId="4" fillId="0" borderId="12" applyNumberFormat="0" applyFill="0" applyAlignment="0" applyProtection="0"/>
    <xf numFmtId="0" fontId="23" fillId="7" borderId="0" applyNumberFormat="0" applyBorder="0" applyAlignment="0" applyProtection="0"/>
    <xf numFmtId="0" fontId="24" fillId="8" borderId="0" applyNumberFormat="0" applyBorder="0" applyAlignment="0" applyProtection="0"/>
    <xf numFmtId="0" fontId="25" fillId="9" borderId="0" applyNumberFormat="0" applyBorder="0" applyAlignment="0" applyProtection="0"/>
    <xf numFmtId="0" fontId="26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6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6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6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6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6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23">
    <xf numFmtId="0" fontId="0" fillId="0" borderId="0" xfId="0"/>
    <xf numFmtId="0" fontId="0" fillId="0" borderId="0" xfId="0" applyFont="1"/>
    <xf numFmtId="0" fontId="1" fillId="2" borderId="1" xfId="0" applyFont="1" applyFill="1" applyBorder="1"/>
    <xf numFmtId="0" fontId="2" fillId="0" borderId="0" xfId="0" applyFont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0" xfId="0" applyFont="1" applyFill="1" applyBorder="1"/>
    <xf numFmtId="0" fontId="0" fillId="0" borderId="0" xfId="0" applyFont="1" applyAlignment="1">
      <alignment vertical="center"/>
    </xf>
    <xf numFmtId="0" fontId="0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5" fillId="0" borderId="0" xfId="0" applyFont="1"/>
    <xf numFmtId="0" fontId="7" fillId="0" borderId="0" xfId="0" applyFont="1"/>
    <xf numFmtId="0" fontId="6" fillId="2" borderId="2" xfId="0" applyFont="1" applyFill="1" applyBorder="1"/>
    <xf numFmtId="0" fontId="6" fillId="2" borderId="3" xfId="0" applyFont="1" applyFill="1" applyBorder="1"/>
    <xf numFmtId="0" fontId="5" fillId="0" borderId="0" xfId="0" applyFont="1" applyFill="1" applyBorder="1"/>
    <xf numFmtId="0" fontId="5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0" xfId="0" applyFont="1" applyFill="1" applyAlignment="1">
      <alignment horizontal="center"/>
    </xf>
    <xf numFmtId="0" fontId="3" fillId="0" borderId="0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/>
              <a:t>Dendrogram</a:t>
            </a:r>
          </a:p>
        </c:rich>
      </c:tx>
      <c:layout>
        <c:manualLayout>
          <c:xMode val="edge"/>
          <c:yMode val="edge"/>
          <c:x val="0.388355263157895"/>
          <c:y val="0.045138888888888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Dendrogram!$S$1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Dendrogram!$R$2:$R$54</c:f>
              <c:numCache>
                <c:formatCode>General</c:formatCode>
                <c:ptCount val="53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3</c:v>
                </c:pt>
                <c:pt idx="11">
                  <c:v>3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4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5</c:v>
                </c:pt>
                <c:pt idx="21">
                  <c:v>5</c:v>
                </c:pt>
                <c:pt idx="22">
                  <c:v>11</c:v>
                </c:pt>
                <c:pt idx="23">
                  <c:v>11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12</c:v>
                </c:pt>
                <c:pt idx="28">
                  <c:v>12</c:v>
                </c:pt>
                <c:pt idx="29">
                  <c:v>11</c:v>
                </c:pt>
                <c:pt idx="30">
                  <c:v>11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11</c:v>
                </c:pt>
                <c:pt idx="38">
                  <c:v>11</c:v>
                </c:pt>
                <c:pt idx="39">
                  <c:v>13</c:v>
                </c:pt>
                <c:pt idx="40">
                  <c:v>13</c:v>
                </c:pt>
                <c:pt idx="41">
                  <c:v>13</c:v>
                </c:pt>
                <c:pt idx="42">
                  <c:v>12</c:v>
                </c:pt>
                <c:pt idx="43">
                  <c:v>12</c:v>
                </c:pt>
                <c:pt idx="44">
                  <c:v>11</c:v>
                </c:pt>
                <c:pt idx="45">
                  <c:v>11</c:v>
                </c:pt>
                <c:pt idx="46">
                  <c:v>8</c:v>
                </c:pt>
                <c:pt idx="47">
                  <c:v>8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9</c:v>
                </c:pt>
                <c:pt idx="52">
                  <c:v>9</c:v>
                </c:pt>
              </c:numCache>
            </c:numRef>
          </c:xVal>
          <c:yVal>
            <c:numRef>
              <c:f>Dendrogram!$S$2:$S$54</c:f>
              <c:numCache>
                <c:formatCode>General</c:formatCode>
                <c:ptCount val="53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  <c:pt idx="11">
                  <c:v>5</c:v>
                </c:pt>
                <c:pt idx="12">
                  <c:v>5</c:v>
                </c:pt>
                <c:pt idx="13">
                  <c:v>0</c:v>
                </c:pt>
                <c:pt idx="14">
                  <c:v>5</c:v>
                </c:pt>
                <c:pt idx="15">
                  <c:v>5</c:v>
                </c:pt>
                <c:pt idx="16">
                  <c:v>7</c:v>
                </c:pt>
                <c:pt idx="17">
                  <c:v>7</c:v>
                </c:pt>
                <c:pt idx="18">
                  <c:v>0</c:v>
                </c:pt>
                <c:pt idx="19">
                  <c:v>7</c:v>
                </c:pt>
                <c:pt idx="20">
                  <c:v>7</c:v>
                </c:pt>
                <c:pt idx="21">
                  <c:v>8</c:v>
                </c:pt>
                <c:pt idx="22">
                  <c:v>8</c:v>
                </c:pt>
                <c:pt idx="23">
                  <c:v>6</c:v>
                </c:pt>
                <c:pt idx="24">
                  <c:v>6</c:v>
                </c:pt>
                <c:pt idx="25">
                  <c:v>0</c:v>
                </c:pt>
                <c:pt idx="26">
                  <c:v>6</c:v>
                </c:pt>
                <c:pt idx="27">
                  <c:v>6</c:v>
                </c:pt>
                <c:pt idx="28">
                  <c:v>4</c:v>
                </c:pt>
                <c:pt idx="29">
                  <c:v>4</c:v>
                </c:pt>
                <c:pt idx="30">
                  <c:v>2</c:v>
                </c:pt>
                <c:pt idx="31">
                  <c:v>2</c:v>
                </c:pt>
                <c:pt idx="32">
                  <c:v>0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2</c:v>
                </c:pt>
                <c:pt idx="37">
                  <c:v>2</c:v>
                </c:pt>
                <c:pt idx="38">
                  <c:v>4</c:v>
                </c:pt>
                <c:pt idx="39">
                  <c:v>4</c:v>
                </c:pt>
                <c:pt idx="40">
                  <c:v>0</c:v>
                </c:pt>
                <c:pt idx="41">
                  <c:v>4</c:v>
                </c:pt>
                <c:pt idx="42">
                  <c:v>4</c:v>
                </c:pt>
                <c:pt idx="43">
                  <c:v>6</c:v>
                </c:pt>
                <c:pt idx="44">
                  <c:v>6</c:v>
                </c:pt>
                <c:pt idx="45">
                  <c:v>8</c:v>
                </c:pt>
                <c:pt idx="46">
                  <c:v>8</c:v>
                </c:pt>
                <c:pt idx="47">
                  <c:v>9</c:v>
                </c:pt>
                <c:pt idx="48">
                  <c:v>9</c:v>
                </c:pt>
                <c:pt idx="49">
                  <c:v>0</c:v>
                </c:pt>
                <c:pt idx="50">
                  <c:v>9</c:v>
                </c:pt>
                <c:pt idx="51">
                  <c:v>9</c:v>
                </c:pt>
                <c:pt idx="52">
                  <c:v>10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771895"/>
        <c:axId val="373660992"/>
      </c:scatterChart>
      <c:valAx>
        <c:axId val="55477189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L1     </a:t>
                </a:r>
                <a:r>
                  <a:rPr lang="vi-VN" altLang="en-US"/>
                  <a:t>   </a:t>
                </a:r>
                <a:r>
                  <a:t>     L4     </a:t>
                </a:r>
                <a:r>
                  <a:rPr lang="vi-VN" altLang="en-US"/>
                  <a:t>  </a:t>
                </a:r>
                <a:r>
                  <a:t>      L8     L6   L10       </a:t>
                </a:r>
                <a:r>
                  <a:rPr lang="vi-VN" altLang="en-US"/>
                  <a:t>   </a:t>
                </a:r>
                <a:r>
                  <a:t>   L3     L5       </a:t>
                </a:r>
                <a:r>
                  <a:rPr lang="vi-VN" altLang="en-US"/>
                  <a:t>   </a:t>
                </a:r>
                <a:r>
                  <a:t>    L9    L2      </a:t>
                </a:r>
                <a:r>
                  <a:rPr lang="vi-VN" altLang="en-US"/>
                  <a:t>  </a:t>
                </a:r>
                <a:r>
                  <a:t>      L7</a:t>
                </a:r>
              </a:p>
            </c:rich>
          </c:tx>
          <c:layout>
            <c:manualLayout>
              <c:xMode val="edge"/>
              <c:yMode val="edge"/>
              <c:x val="0.152013157894737"/>
              <c:y val="0.85115740740740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3660992"/>
        <c:crosses val="autoZero"/>
        <c:crossBetween val="midCat"/>
      </c:valAx>
      <c:valAx>
        <c:axId val="37366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Distance not in proportion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477189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0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19</xdr:col>
      <xdr:colOff>265430</xdr:colOff>
      <xdr:row>3</xdr:row>
      <xdr:rowOff>33655</xdr:rowOff>
    </xdr:from>
    <xdr:to>
      <xdr:col>27</xdr:col>
      <xdr:colOff>290830</xdr:colOff>
      <xdr:row>17</xdr:row>
      <xdr:rowOff>109855</xdr:rowOff>
    </xdr:to>
    <xdr:graphicFrame>
      <xdr:nvGraphicFramePr>
        <xdr:cNvPr id="2" name="Chart 1"/>
        <xdr:cNvGraphicFramePr/>
      </xdr:nvGraphicFramePr>
      <xdr:xfrm>
        <a:off x="11266805" y="60515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workbookViewId="0">
      <selection activeCell="N14" sqref="N14"/>
    </sheetView>
  </sheetViews>
  <sheetFormatPr defaultColWidth="9" defaultRowHeight="15"/>
  <cols>
    <col min="1" max="1" width="3.57142857142857" style="1" customWidth="1"/>
    <col min="2" max="2" width="12.8571428571429" style="1" customWidth="1"/>
    <col min="3" max="10" width="8.57142857142857" style="1" customWidth="1"/>
    <col min="11" max="11" width="12.8571428571429" style="1" customWidth="1"/>
    <col min="12" max="12" width="6.14285714285714" style="1" customWidth="1"/>
    <col min="13" max="15" width="7.28571428571429" style="1" customWidth="1"/>
    <col min="16" max="16" width="8.28571428571429" style="1" customWidth="1"/>
    <col min="17" max="17" width="12.8571428571429" style="1" customWidth="1"/>
    <col min="18" max="16384" width="9" style="1"/>
  </cols>
  <sheetData>
    <row r="1" spans="1:1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4">
        <v>1</v>
      </c>
      <c r="B2" s="1" t="s">
        <v>16</v>
      </c>
      <c r="C2" s="1">
        <v>8.77777777777778</v>
      </c>
      <c r="D2" s="1">
        <v>201.777777777778</v>
      </c>
      <c r="E2" s="1">
        <v>63.5555555555556</v>
      </c>
      <c r="F2" s="1">
        <v>28.3333333333333</v>
      </c>
      <c r="G2" s="1">
        <v>11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</row>
    <row r="3" spans="1:16">
      <c r="A3" s="4">
        <v>2</v>
      </c>
      <c r="B3" s="1" t="s">
        <v>17</v>
      </c>
      <c r="G3" s="1">
        <v>14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</row>
    <row r="4" spans="1:16">
      <c r="A4" s="4">
        <v>3</v>
      </c>
      <c r="B4" s="1" t="s">
        <v>18</v>
      </c>
      <c r="G4" s="1">
        <v>18</v>
      </c>
      <c r="H4" s="1">
        <v>18</v>
      </c>
      <c r="I4" s="1">
        <v>18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</row>
    <row r="5" spans="1:16">
      <c r="A5" s="4">
        <v>4</v>
      </c>
      <c r="B5" s="1" t="s">
        <v>19</v>
      </c>
      <c r="G5" s="1">
        <v>16</v>
      </c>
      <c r="H5" s="1">
        <v>16</v>
      </c>
      <c r="I5" s="1">
        <v>16</v>
      </c>
      <c r="J5" s="1">
        <v>16</v>
      </c>
      <c r="K5" s="1">
        <v>16</v>
      </c>
      <c r="L5" s="1">
        <v>1</v>
      </c>
      <c r="M5" s="1">
        <v>1</v>
      </c>
      <c r="N5" s="1">
        <v>1</v>
      </c>
      <c r="O5" s="1">
        <v>1</v>
      </c>
      <c r="P5" s="1">
        <v>1</v>
      </c>
    </row>
    <row r="6" spans="1:16">
      <c r="A6" s="4">
        <v>5</v>
      </c>
      <c r="B6" s="1" t="s">
        <v>20</v>
      </c>
      <c r="G6" s="1">
        <v>20</v>
      </c>
      <c r="H6" s="1">
        <v>20</v>
      </c>
      <c r="I6" s="1">
        <v>20</v>
      </c>
      <c r="J6" s="1">
        <v>20</v>
      </c>
      <c r="K6" s="1">
        <v>20</v>
      </c>
      <c r="L6" s="1">
        <v>20</v>
      </c>
      <c r="M6" s="1">
        <v>20</v>
      </c>
      <c r="N6" s="1">
        <v>1</v>
      </c>
      <c r="O6" s="1">
        <v>1</v>
      </c>
      <c r="P6" s="1">
        <v>1</v>
      </c>
    </row>
    <row r="7" spans="1:16">
      <c r="A7" s="4">
        <v>6</v>
      </c>
      <c r="B7" s="1" t="s">
        <v>21</v>
      </c>
      <c r="G7" s="1">
        <v>13</v>
      </c>
      <c r="H7" s="1">
        <v>13</v>
      </c>
      <c r="I7" s="1">
        <v>2</v>
      </c>
      <c r="J7" s="1">
        <v>2</v>
      </c>
      <c r="K7" s="1">
        <v>2</v>
      </c>
      <c r="L7" s="1">
        <v>2</v>
      </c>
      <c r="M7" s="1">
        <v>2</v>
      </c>
      <c r="N7" s="1">
        <v>2</v>
      </c>
      <c r="O7" s="1">
        <v>1</v>
      </c>
      <c r="P7" s="1">
        <v>1</v>
      </c>
    </row>
    <row r="8" spans="1:16">
      <c r="A8" s="4">
        <v>7</v>
      </c>
      <c r="B8" s="1" t="s">
        <v>22</v>
      </c>
      <c r="G8" s="1">
        <v>15</v>
      </c>
      <c r="H8" s="1">
        <v>15</v>
      </c>
      <c r="I8" s="1">
        <v>2</v>
      </c>
      <c r="J8" s="1">
        <v>2</v>
      </c>
      <c r="K8" s="1">
        <v>2</v>
      </c>
      <c r="L8" s="1">
        <v>2</v>
      </c>
      <c r="M8" s="1">
        <v>2</v>
      </c>
      <c r="N8" s="1">
        <v>2</v>
      </c>
      <c r="O8" s="1">
        <v>1</v>
      </c>
      <c r="P8" s="1">
        <v>1</v>
      </c>
    </row>
    <row r="9" spans="1:16">
      <c r="A9" s="4">
        <v>8</v>
      </c>
      <c r="B9" s="1" t="s">
        <v>23</v>
      </c>
      <c r="G9" s="1">
        <v>19</v>
      </c>
      <c r="H9" s="1">
        <v>19</v>
      </c>
      <c r="I9" s="1">
        <v>19</v>
      </c>
      <c r="J9" s="1">
        <v>19</v>
      </c>
      <c r="K9" s="1">
        <v>2</v>
      </c>
      <c r="L9" s="1">
        <v>2</v>
      </c>
      <c r="M9" s="1">
        <v>2</v>
      </c>
      <c r="N9" s="1">
        <v>2</v>
      </c>
      <c r="O9" s="1">
        <v>1</v>
      </c>
      <c r="P9" s="1">
        <v>1</v>
      </c>
    </row>
    <row r="10" spans="1:16">
      <c r="A10" s="4">
        <v>9</v>
      </c>
      <c r="B10" s="1" t="s">
        <v>24</v>
      </c>
      <c r="G10" s="1">
        <v>12</v>
      </c>
      <c r="H10" s="1">
        <v>12</v>
      </c>
      <c r="I10" s="1">
        <v>12</v>
      </c>
      <c r="J10" s="1">
        <v>12</v>
      </c>
      <c r="K10" s="1">
        <v>12</v>
      </c>
      <c r="L10" s="1">
        <v>12</v>
      </c>
      <c r="M10" s="1">
        <v>2</v>
      </c>
      <c r="N10" s="1">
        <v>2</v>
      </c>
      <c r="O10" s="1">
        <v>1</v>
      </c>
      <c r="P10" s="1">
        <v>1</v>
      </c>
    </row>
    <row r="11" spans="1:16">
      <c r="A11" s="5">
        <v>10</v>
      </c>
      <c r="B11" s="1" t="s">
        <v>25</v>
      </c>
      <c r="C11" s="1">
        <v>0</v>
      </c>
      <c r="D11" s="1">
        <v>35</v>
      </c>
      <c r="E11" s="1">
        <v>75</v>
      </c>
      <c r="F11" s="1">
        <v>7</v>
      </c>
      <c r="G11" s="1">
        <v>17</v>
      </c>
      <c r="H11" s="1">
        <v>17</v>
      </c>
      <c r="I11" s="1">
        <v>17</v>
      </c>
      <c r="J11" s="1">
        <v>17</v>
      </c>
      <c r="K11" s="1">
        <v>17</v>
      </c>
      <c r="L11" s="1">
        <v>17</v>
      </c>
      <c r="M11" s="1">
        <v>17</v>
      </c>
      <c r="N11" s="1">
        <v>17</v>
      </c>
      <c r="O11" s="1">
        <v>17</v>
      </c>
      <c r="P11" s="1">
        <v>1</v>
      </c>
    </row>
    <row r="13" spans="2:11"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</row>
    <row r="14" spans="1:17">
      <c r="A14" s="22">
        <v>1</v>
      </c>
      <c r="B14" s="1" cm="1">
        <f t="array" ref="B14">IFERROR(IF($A14=B$13,1000000,SQRT(SUMXMY2($C2:$F2,INDEX($C$2:$F$11,B$13,0)))),1000000)</f>
        <v>1000000</v>
      </c>
      <c r="C14" s="1">
        <f t="shared" ref="C14:K14" si="0">IFERROR(IF($A14=C$13,1000000,SQRT(SUMXMY2($C2:$F2,INDEX($C$2:$F$11,C$13,0)))),1000000)</f>
        <v>1000000</v>
      </c>
      <c r="D14" s="1">
        <f t="shared" si="0"/>
        <v>1000000</v>
      </c>
      <c r="E14" s="1">
        <f t="shared" si="0"/>
        <v>1000000</v>
      </c>
      <c r="F14" s="1">
        <f t="shared" si="0"/>
        <v>1000000</v>
      </c>
      <c r="G14" s="1">
        <f t="shared" si="0"/>
        <v>1000000</v>
      </c>
      <c r="H14" s="1">
        <f t="shared" si="0"/>
        <v>1000000</v>
      </c>
      <c r="I14" s="1">
        <f t="shared" si="0"/>
        <v>1000000</v>
      </c>
      <c r="J14" s="1">
        <f t="shared" si="0"/>
        <v>1000000</v>
      </c>
      <c r="K14" s="1">
        <f t="shared" si="0"/>
        <v>168.754149468874</v>
      </c>
      <c r="L14" s="9">
        <f>MATCH(MIN($B$14:$K$23),B14:K14,0)</f>
        <v>10</v>
      </c>
      <c r="N14" s="9">
        <f>SUM(C2*5,C4*4)/9</f>
        <v>4.87654320987654</v>
      </c>
      <c r="O14" s="9">
        <f t="shared" ref="O14:Q14" si="1">SUM(D2*5,D4*4)/9</f>
        <v>112.098765432099</v>
      </c>
      <c r="P14" s="9">
        <f t="shared" si="1"/>
        <v>35.3086419753086</v>
      </c>
      <c r="Q14" s="9">
        <f t="shared" si="1"/>
        <v>15.7407407407407</v>
      </c>
    </row>
    <row r="15" spans="1:17">
      <c r="A15" s="6">
        <v>2</v>
      </c>
      <c r="B15" s="1">
        <f t="shared" ref="B15:K15" si="2">IFERROR(IF($A15=B$13,1000000,SQRT(SUMXMY2($C3:$F3,INDEX($C$2:$F$11,B$13,0)))),1000000)</f>
        <v>1000000</v>
      </c>
      <c r="C15" s="1">
        <f t="shared" si="2"/>
        <v>1000000</v>
      </c>
      <c r="D15" s="1">
        <f t="shared" si="2"/>
        <v>1000000</v>
      </c>
      <c r="E15" s="1">
        <f t="shared" si="2"/>
        <v>1000000</v>
      </c>
      <c r="F15" s="1">
        <f t="shared" si="2"/>
        <v>1000000</v>
      </c>
      <c r="G15" s="1">
        <f t="shared" si="2"/>
        <v>1000000</v>
      </c>
      <c r="H15" s="1">
        <f t="shared" si="2"/>
        <v>1000000</v>
      </c>
      <c r="I15" s="1">
        <f t="shared" si="2"/>
        <v>1000000</v>
      </c>
      <c r="J15" s="1">
        <f t="shared" si="2"/>
        <v>1000000</v>
      </c>
      <c r="K15" s="1">
        <f t="shared" si="2"/>
        <v>1000000</v>
      </c>
      <c r="L15" s="9" t="e">
        <f t="shared" ref="L15:L23" si="3">MATCH(MIN($B$14:$K$23),B15:K15,0)</f>
        <v>#N/A</v>
      </c>
      <c r="N15" s="1">
        <v>8.77777777777778</v>
      </c>
      <c r="O15" s="1">
        <v>201.777777777778</v>
      </c>
      <c r="P15" s="1">
        <v>63.5555555555556</v>
      </c>
      <c r="Q15" s="1">
        <v>28.3333333333333</v>
      </c>
    </row>
    <row r="16" spans="1:12">
      <c r="A16" s="22">
        <v>3</v>
      </c>
      <c r="B16" s="1">
        <f t="shared" ref="B16:K16" si="4">IFERROR(IF($A16=B$13,1000000,SQRT(SUMXMY2($C4:$F4,INDEX($C$2:$F$11,B$13,0)))),1000000)</f>
        <v>1000000</v>
      </c>
      <c r="C16" s="1">
        <f t="shared" si="4"/>
        <v>1000000</v>
      </c>
      <c r="D16" s="1">
        <f t="shared" si="4"/>
        <v>1000000</v>
      </c>
      <c r="E16" s="1">
        <f t="shared" si="4"/>
        <v>1000000</v>
      </c>
      <c r="F16" s="1">
        <f t="shared" si="4"/>
        <v>1000000</v>
      </c>
      <c r="G16" s="1">
        <f t="shared" si="4"/>
        <v>1000000</v>
      </c>
      <c r="H16" s="1">
        <f t="shared" si="4"/>
        <v>1000000</v>
      </c>
      <c r="I16" s="1">
        <f t="shared" si="4"/>
        <v>1000000</v>
      </c>
      <c r="J16" s="1">
        <f t="shared" si="4"/>
        <v>1000000</v>
      </c>
      <c r="K16" s="1">
        <f t="shared" si="4"/>
        <v>1000000</v>
      </c>
      <c r="L16" s="9" t="e">
        <f t="shared" si="3"/>
        <v>#N/A</v>
      </c>
    </row>
    <row r="17" spans="1:12">
      <c r="A17" s="6">
        <v>4</v>
      </c>
      <c r="B17" s="1">
        <f t="shared" ref="B17:K17" si="5">IFERROR(IF($A17=B$13,1000000,SQRT(SUMXMY2($C5:$F5,INDEX($C$2:$F$11,B$13,0)))),1000000)</f>
        <v>1000000</v>
      </c>
      <c r="C17" s="1">
        <f t="shared" si="5"/>
        <v>1000000</v>
      </c>
      <c r="D17" s="1">
        <f t="shared" si="5"/>
        <v>1000000</v>
      </c>
      <c r="E17" s="1">
        <f t="shared" si="5"/>
        <v>1000000</v>
      </c>
      <c r="F17" s="1">
        <f t="shared" si="5"/>
        <v>1000000</v>
      </c>
      <c r="G17" s="1">
        <f t="shared" si="5"/>
        <v>1000000</v>
      </c>
      <c r="H17" s="1">
        <f t="shared" si="5"/>
        <v>1000000</v>
      </c>
      <c r="I17" s="1">
        <f t="shared" si="5"/>
        <v>1000000</v>
      </c>
      <c r="J17" s="1">
        <f t="shared" si="5"/>
        <v>1000000</v>
      </c>
      <c r="K17" s="1">
        <f t="shared" si="5"/>
        <v>1000000</v>
      </c>
      <c r="L17" s="9" t="e">
        <f t="shared" si="3"/>
        <v>#N/A</v>
      </c>
    </row>
    <row r="18" spans="1:12">
      <c r="A18" s="22">
        <v>5</v>
      </c>
      <c r="B18" s="1">
        <f t="shared" ref="B18:K18" si="6">IFERROR(IF($A18=B$13,1000000,SQRT(SUMXMY2($C6:$F6,INDEX($C$2:$F$11,B$13,0)))),1000000)</f>
        <v>1000000</v>
      </c>
      <c r="C18" s="1">
        <f t="shared" si="6"/>
        <v>1000000</v>
      </c>
      <c r="D18" s="1">
        <f t="shared" si="6"/>
        <v>1000000</v>
      </c>
      <c r="E18" s="1">
        <f t="shared" si="6"/>
        <v>1000000</v>
      </c>
      <c r="F18" s="1">
        <f t="shared" si="6"/>
        <v>1000000</v>
      </c>
      <c r="G18" s="1">
        <f t="shared" si="6"/>
        <v>1000000</v>
      </c>
      <c r="H18" s="1">
        <f t="shared" si="6"/>
        <v>1000000</v>
      </c>
      <c r="I18" s="1">
        <f t="shared" si="6"/>
        <v>1000000</v>
      </c>
      <c r="J18" s="1">
        <f t="shared" si="6"/>
        <v>1000000</v>
      </c>
      <c r="K18" s="1">
        <f t="shared" si="6"/>
        <v>1000000</v>
      </c>
      <c r="L18" s="9" t="e">
        <f t="shared" si="3"/>
        <v>#N/A</v>
      </c>
    </row>
    <row r="19" spans="1:12">
      <c r="A19" s="6">
        <v>6</v>
      </c>
      <c r="B19" s="1">
        <f t="shared" ref="B19:K19" si="7">IFERROR(IF($A19=B$13,1000000,SQRT(SUMXMY2($C7:$F7,INDEX($C$2:$F$11,B$13,0)))),1000000)</f>
        <v>1000000</v>
      </c>
      <c r="C19" s="1">
        <f t="shared" si="7"/>
        <v>1000000</v>
      </c>
      <c r="D19" s="1">
        <f t="shared" si="7"/>
        <v>1000000</v>
      </c>
      <c r="E19" s="1">
        <f t="shared" si="7"/>
        <v>1000000</v>
      </c>
      <c r="F19" s="1">
        <f t="shared" si="7"/>
        <v>1000000</v>
      </c>
      <c r="G19" s="1">
        <f t="shared" si="7"/>
        <v>1000000</v>
      </c>
      <c r="H19" s="1">
        <f t="shared" si="7"/>
        <v>1000000</v>
      </c>
      <c r="I19" s="1">
        <f t="shared" si="7"/>
        <v>1000000</v>
      </c>
      <c r="J19" s="1">
        <f t="shared" si="7"/>
        <v>1000000</v>
      </c>
      <c r="K19" s="1">
        <f t="shared" si="7"/>
        <v>1000000</v>
      </c>
      <c r="L19" s="9" t="e">
        <f t="shared" si="3"/>
        <v>#N/A</v>
      </c>
    </row>
    <row r="20" spans="1:12">
      <c r="A20" s="22">
        <v>7</v>
      </c>
      <c r="B20" s="1">
        <f t="shared" ref="B20:K20" si="8">IFERROR(IF($A20=B$13,1000000,SQRT(SUMXMY2($C8:$F8,INDEX($C$2:$F$11,B$13,0)))),1000000)</f>
        <v>1000000</v>
      </c>
      <c r="C20" s="1">
        <f t="shared" si="8"/>
        <v>1000000</v>
      </c>
      <c r="D20" s="1">
        <f t="shared" si="8"/>
        <v>1000000</v>
      </c>
      <c r="E20" s="1">
        <f t="shared" si="8"/>
        <v>1000000</v>
      </c>
      <c r="F20" s="1">
        <f t="shared" si="8"/>
        <v>1000000</v>
      </c>
      <c r="G20" s="1">
        <f t="shared" si="8"/>
        <v>1000000</v>
      </c>
      <c r="H20" s="1">
        <f t="shared" si="8"/>
        <v>1000000</v>
      </c>
      <c r="I20" s="1">
        <f t="shared" si="8"/>
        <v>1000000</v>
      </c>
      <c r="J20" s="1">
        <f t="shared" si="8"/>
        <v>1000000</v>
      </c>
      <c r="K20" s="1">
        <f t="shared" si="8"/>
        <v>1000000</v>
      </c>
      <c r="L20" s="9" t="e">
        <f t="shared" si="3"/>
        <v>#N/A</v>
      </c>
    </row>
    <row r="21" spans="1:12">
      <c r="A21" s="6">
        <v>8</v>
      </c>
      <c r="B21" s="1">
        <f t="shared" ref="B21:K21" si="9">IFERROR(IF($A21=B$13,1000000,SQRT(SUMXMY2($C9:$F9,INDEX($C$2:$F$11,B$13,0)))),1000000)</f>
        <v>1000000</v>
      </c>
      <c r="C21" s="1">
        <f t="shared" si="9"/>
        <v>1000000</v>
      </c>
      <c r="D21" s="1">
        <f t="shared" si="9"/>
        <v>1000000</v>
      </c>
      <c r="E21" s="1">
        <f t="shared" si="9"/>
        <v>1000000</v>
      </c>
      <c r="F21" s="1">
        <f t="shared" si="9"/>
        <v>1000000</v>
      </c>
      <c r="G21" s="1">
        <f t="shared" si="9"/>
        <v>1000000</v>
      </c>
      <c r="H21" s="1">
        <f t="shared" si="9"/>
        <v>1000000</v>
      </c>
      <c r="I21" s="1">
        <f t="shared" si="9"/>
        <v>1000000</v>
      </c>
      <c r="J21" s="1">
        <f t="shared" si="9"/>
        <v>1000000</v>
      </c>
      <c r="K21" s="1">
        <f t="shared" si="9"/>
        <v>1000000</v>
      </c>
      <c r="L21" s="9" t="e">
        <f t="shared" si="3"/>
        <v>#N/A</v>
      </c>
    </row>
    <row r="22" spans="1:12">
      <c r="A22" s="22">
        <v>9</v>
      </c>
      <c r="B22" s="1">
        <f t="shared" ref="B22:K22" si="10">IFERROR(IF($A22=B$13,1000000,SQRT(SUMXMY2($C10:$F10,INDEX($C$2:$F$11,B$13,0)))),1000000)</f>
        <v>1000000</v>
      </c>
      <c r="C22" s="1">
        <f t="shared" si="10"/>
        <v>1000000</v>
      </c>
      <c r="D22" s="1">
        <f t="shared" si="10"/>
        <v>1000000</v>
      </c>
      <c r="E22" s="1">
        <f t="shared" si="10"/>
        <v>1000000</v>
      </c>
      <c r="F22" s="1">
        <f t="shared" si="10"/>
        <v>1000000</v>
      </c>
      <c r="G22" s="1">
        <f t="shared" si="10"/>
        <v>1000000</v>
      </c>
      <c r="H22" s="1">
        <f t="shared" si="10"/>
        <v>1000000</v>
      </c>
      <c r="I22" s="1">
        <f t="shared" si="10"/>
        <v>1000000</v>
      </c>
      <c r="J22" s="1">
        <f t="shared" si="10"/>
        <v>1000000</v>
      </c>
      <c r="K22" s="1">
        <f t="shared" si="10"/>
        <v>1000000</v>
      </c>
      <c r="L22" s="9" t="e">
        <f t="shared" si="3"/>
        <v>#N/A</v>
      </c>
    </row>
    <row r="23" spans="1:12">
      <c r="A23" s="6">
        <v>10</v>
      </c>
      <c r="B23" s="1">
        <f t="shared" ref="B23:K23" si="11">IFERROR(IF($A23=B$13,1000000,SQRT(SUMXMY2($C11:$F11,INDEX($C$2:$F$11,B$13,0)))),1000000)</f>
        <v>168.754149468874</v>
      </c>
      <c r="C23" s="1">
        <f t="shared" si="11"/>
        <v>1000000</v>
      </c>
      <c r="D23" s="1">
        <f t="shared" si="11"/>
        <v>1000000</v>
      </c>
      <c r="E23" s="1">
        <f t="shared" si="11"/>
        <v>1000000</v>
      </c>
      <c r="F23" s="1">
        <f t="shared" si="11"/>
        <v>1000000</v>
      </c>
      <c r="G23" s="1">
        <f t="shared" si="11"/>
        <v>1000000</v>
      </c>
      <c r="H23" s="1">
        <f t="shared" si="11"/>
        <v>1000000</v>
      </c>
      <c r="I23" s="1">
        <f t="shared" si="11"/>
        <v>1000000</v>
      </c>
      <c r="J23" s="1">
        <f t="shared" si="11"/>
        <v>1000000</v>
      </c>
      <c r="K23" s="1">
        <f t="shared" si="11"/>
        <v>1000000</v>
      </c>
      <c r="L23" s="9">
        <f t="shared" si="3"/>
        <v>1</v>
      </c>
    </row>
  </sheetData>
  <sortState ref="B2:P11">
    <sortCondition ref="O2:O11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4"/>
  <sheetViews>
    <sheetView workbookViewId="0">
      <selection activeCell="C39" sqref="C39"/>
    </sheetView>
  </sheetViews>
  <sheetFormatPr defaultColWidth="9" defaultRowHeight="15"/>
  <cols>
    <col min="1" max="1" width="3.57142857142857" style="1" customWidth="1"/>
    <col min="2" max="2" width="12.8571428571429" style="1" customWidth="1"/>
    <col min="3" max="10" width="8.57142857142857" style="1" customWidth="1"/>
    <col min="11" max="11" width="12.8571428571429" style="1" customWidth="1"/>
    <col min="12" max="12" width="6.14285714285714" style="1" customWidth="1"/>
    <col min="13" max="15" width="7.28571428571429" style="1" customWidth="1"/>
    <col min="16" max="16" width="8.28571428571429" style="1" customWidth="1"/>
    <col min="17" max="17" width="12.8571428571429" style="1" customWidth="1"/>
    <col min="18" max="19" width="9" style="21"/>
    <col min="20" max="16384" width="9" style="1"/>
  </cols>
  <sheetData>
    <row r="1" s="1" customFormat="1" spans="1:1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R1" s="21" t="s">
        <v>26</v>
      </c>
      <c r="S1" s="21" t="s">
        <v>27</v>
      </c>
    </row>
    <row r="2" s="1" customFormat="1" spans="1:19">
      <c r="A2" s="4">
        <v>1</v>
      </c>
      <c r="B2" s="1" t="s">
        <v>16</v>
      </c>
      <c r="C2" s="1">
        <v>8.77777777777778</v>
      </c>
      <c r="D2" s="1">
        <v>201.777777777778</v>
      </c>
      <c r="E2" s="1">
        <v>63.5555555555556</v>
      </c>
      <c r="F2" s="1">
        <v>28.3333333333333</v>
      </c>
      <c r="G2" s="1">
        <v>11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R2" s="21">
        <v>1</v>
      </c>
      <c r="S2" s="21">
        <v>0</v>
      </c>
    </row>
    <row r="3" s="1" customFormat="1" spans="1:19">
      <c r="A3" s="4">
        <v>2</v>
      </c>
      <c r="B3" s="1" t="s">
        <v>17</v>
      </c>
      <c r="G3" s="1">
        <v>14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R3" s="21">
        <v>1</v>
      </c>
      <c r="S3" s="21">
        <v>1</v>
      </c>
    </row>
    <row r="4" s="1" customFormat="1" spans="1:19">
      <c r="A4" s="4">
        <v>3</v>
      </c>
      <c r="B4" s="1" t="s">
        <v>18</v>
      </c>
      <c r="G4" s="1">
        <v>18</v>
      </c>
      <c r="H4" s="1">
        <v>18</v>
      </c>
      <c r="I4" s="1">
        <v>18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R4" s="21">
        <v>3</v>
      </c>
      <c r="S4" s="21">
        <v>1</v>
      </c>
    </row>
    <row r="5" s="1" customFormat="1" spans="1:19">
      <c r="A5" s="4">
        <v>4</v>
      </c>
      <c r="B5" s="1" t="s">
        <v>19</v>
      </c>
      <c r="G5" s="1">
        <v>16</v>
      </c>
      <c r="H5" s="1">
        <v>16</v>
      </c>
      <c r="I5" s="1">
        <v>16</v>
      </c>
      <c r="J5" s="1">
        <v>16</v>
      </c>
      <c r="K5" s="1">
        <v>16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R5" s="21">
        <v>3</v>
      </c>
      <c r="S5" s="21">
        <v>0</v>
      </c>
    </row>
    <row r="6" s="1" customFormat="1" spans="1:19">
      <c r="A6" s="4">
        <v>5</v>
      </c>
      <c r="B6" s="1" t="s">
        <v>20</v>
      </c>
      <c r="G6" s="1">
        <v>20</v>
      </c>
      <c r="H6" s="1">
        <v>20</v>
      </c>
      <c r="I6" s="1">
        <v>20</v>
      </c>
      <c r="J6" s="1">
        <v>20</v>
      </c>
      <c r="K6" s="1">
        <v>20</v>
      </c>
      <c r="L6" s="1">
        <v>20</v>
      </c>
      <c r="M6" s="1">
        <v>20</v>
      </c>
      <c r="N6" s="1">
        <v>1</v>
      </c>
      <c r="O6" s="1">
        <v>1</v>
      </c>
      <c r="P6" s="1">
        <v>1</v>
      </c>
      <c r="R6" s="21">
        <v>3</v>
      </c>
      <c r="S6" s="21">
        <v>1</v>
      </c>
    </row>
    <row r="7" s="1" customFormat="1" spans="1:19">
      <c r="A7" s="4">
        <v>6</v>
      </c>
      <c r="B7" s="1" t="s">
        <v>21</v>
      </c>
      <c r="G7" s="1">
        <v>13</v>
      </c>
      <c r="H7" s="1">
        <v>13</v>
      </c>
      <c r="I7" s="1">
        <v>2</v>
      </c>
      <c r="J7" s="1">
        <v>2</v>
      </c>
      <c r="K7" s="1">
        <v>2</v>
      </c>
      <c r="L7" s="1">
        <v>2</v>
      </c>
      <c r="M7" s="1">
        <v>2</v>
      </c>
      <c r="N7" s="1">
        <v>2</v>
      </c>
      <c r="O7" s="1">
        <v>1</v>
      </c>
      <c r="P7" s="1">
        <v>1</v>
      </c>
      <c r="R7" s="21">
        <v>2</v>
      </c>
      <c r="S7" s="21">
        <v>1</v>
      </c>
    </row>
    <row r="8" s="1" customFormat="1" spans="1:19">
      <c r="A8" s="4">
        <v>7</v>
      </c>
      <c r="B8" s="1" t="s">
        <v>22</v>
      </c>
      <c r="G8" s="1">
        <v>15</v>
      </c>
      <c r="H8" s="1">
        <v>15</v>
      </c>
      <c r="I8" s="1">
        <v>2</v>
      </c>
      <c r="J8" s="1">
        <v>2</v>
      </c>
      <c r="K8" s="1">
        <v>2</v>
      </c>
      <c r="L8" s="1">
        <v>2</v>
      </c>
      <c r="M8" s="1">
        <v>2</v>
      </c>
      <c r="N8" s="1">
        <v>2</v>
      </c>
      <c r="O8" s="1">
        <v>1</v>
      </c>
      <c r="P8" s="1">
        <v>1</v>
      </c>
      <c r="R8" s="21">
        <v>2</v>
      </c>
      <c r="S8" s="21">
        <v>3</v>
      </c>
    </row>
    <row r="9" s="1" customFormat="1" spans="1:19">
      <c r="A9" s="4">
        <v>8</v>
      </c>
      <c r="B9" s="1" t="s">
        <v>23</v>
      </c>
      <c r="G9" s="1">
        <v>19</v>
      </c>
      <c r="H9" s="1">
        <v>19</v>
      </c>
      <c r="I9" s="1">
        <v>19</v>
      </c>
      <c r="J9" s="1">
        <v>19</v>
      </c>
      <c r="K9" s="1">
        <v>2</v>
      </c>
      <c r="L9" s="1">
        <v>2</v>
      </c>
      <c r="M9" s="1">
        <v>2</v>
      </c>
      <c r="N9" s="1">
        <v>2</v>
      </c>
      <c r="O9" s="1">
        <v>1</v>
      </c>
      <c r="P9" s="1">
        <v>1</v>
      </c>
      <c r="R9" s="21">
        <v>5</v>
      </c>
      <c r="S9" s="21">
        <v>3</v>
      </c>
    </row>
    <row r="10" s="1" customFormat="1" spans="1:19">
      <c r="A10" s="4">
        <v>9</v>
      </c>
      <c r="B10" s="1" t="s">
        <v>24</v>
      </c>
      <c r="G10" s="1">
        <v>12</v>
      </c>
      <c r="H10" s="1">
        <v>12</v>
      </c>
      <c r="I10" s="1">
        <v>12</v>
      </c>
      <c r="J10" s="1">
        <v>12</v>
      </c>
      <c r="K10" s="1">
        <v>12</v>
      </c>
      <c r="L10" s="1">
        <v>12</v>
      </c>
      <c r="M10" s="1">
        <v>2</v>
      </c>
      <c r="N10" s="1">
        <v>2</v>
      </c>
      <c r="O10" s="1">
        <v>1</v>
      </c>
      <c r="P10" s="1">
        <v>1</v>
      </c>
      <c r="R10" s="21">
        <v>5</v>
      </c>
      <c r="S10" s="21">
        <v>0</v>
      </c>
    </row>
    <row r="11" s="1" customFormat="1" spans="1:19">
      <c r="A11" s="5">
        <v>10</v>
      </c>
      <c r="B11" s="1" t="s">
        <v>25</v>
      </c>
      <c r="C11" s="1">
        <v>0</v>
      </c>
      <c r="D11" s="1">
        <v>35</v>
      </c>
      <c r="E11" s="1">
        <v>75</v>
      </c>
      <c r="F11" s="1">
        <v>7</v>
      </c>
      <c r="G11" s="1">
        <v>17</v>
      </c>
      <c r="H11" s="1">
        <v>17</v>
      </c>
      <c r="I11" s="1">
        <v>17</v>
      </c>
      <c r="J11" s="1">
        <v>17</v>
      </c>
      <c r="K11" s="1">
        <v>17</v>
      </c>
      <c r="L11" s="1">
        <v>17</v>
      </c>
      <c r="M11" s="1">
        <v>17</v>
      </c>
      <c r="N11" s="1">
        <v>17</v>
      </c>
      <c r="O11" s="1">
        <v>17</v>
      </c>
      <c r="P11" s="1">
        <v>1</v>
      </c>
      <c r="R11" s="21">
        <v>5</v>
      </c>
      <c r="S11" s="21">
        <v>3</v>
      </c>
    </row>
    <row r="12" spans="18:19">
      <c r="R12" s="21">
        <v>3</v>
      </c>
      <c r="S12" s="21">
        <v>3</v>
      </c>
    </row>
    <row r="13" s="1" customFormat="1" spans="2:19"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R13" s="21">
        <v>3</v>
      </c>
      <c r="S13" s="21">
        <v>5</v>
      </c>
    </row>
    <row r="14" s="1" customFormat="1" spans="1:19">
      <c r="A14" s="22">
        <v>1</v>
      </c>
      <c r="B14" s="1" cm="1">
        <f t="array" ref="B14">IFERROR(IF($A14=B$13,1000000,SQRT(SUMXMY2($C2:$F2,INDEX($C$2:$F$11,B$13,0)))),1000000)</f>
        <v>1000000</v>
      </c>
      <c r="C14" s="1">
        <f>IFERROR(IF($A14=C$13,1000000,SQRT(SUMXMY2($C2:$F2,INDEX($C$2:$F$11,C$13,0)))),1000000)</f>
        <v>1000000</v>
      </c>
      <c r="D14" s="1">
        <f>IFERROR(IF($A14=D$13,1000000,SQRT(SUMXMY2($C2:$F2,INDEX($C$2:$F$11,D$13,0)))),1000000)</f>
        <v>1000000</v>
      </c>
      <c r="E14" s="1">
        <f>IFERROR(IF($A14=E$13,1000000,SQRT(SUMXMY2($C2:$F2,INDEX($C$2:$F$11,E$13,0)))),1000000)</f>
        <v>1000000</v>
      </c>
      <c r="F14" s="1">
        <f>IFERROR(IF($A14=F$13,1000000,SQRT(SUMXMY2($C2:$F2,INDEX($C$2:$F$11,F$13,0)))),1000000)</f>
        <v>1000000</v>
      </c>
      <c r="G14" s="1">
        <f>IFERROR(IF($A14=G$13,1000000,SQRT(SUMXMY2($C2:$F2,INDEX($C$2:$F$11,G$13,0)))),1000000)</f>
        <v>1000000</v>
      </c>
      <c r="H14" s="1">
        <f>IFERROR(IF($A14=H$13,1000000,SQRT(SUMXMY2($C2:$F2,INDEX($C$2:$F$11,H$13,0)))),1000000)</f>
        <v>1000000</v>
      </c>
      <c r="I14" s="1">
        <f>IFERROR(IF($A14=I$13,1000000,SQRT(SUMXMY2($C2:$F2,INDEX($C$2:$F$11,I$13,0)))),1000000)</f>
        <v>1000000</v>
      </c>
      <c r="J14" s="1">
        <f>IFERROR(IF($A14=J$13,1000000,SQRT(SUMXMY2($C2:$F2,INDEX($C$2:$F$11,J$13,0)))),1000000)</f>
        <v>1000000</v>
      </c>
      <c r="K14" s="1">
        <f>IFERROR(IF($A14=K$13,1000000,SQRT(SUMXMY2($C2:$F2,INDEX($C$2:$F$11,K$13,0)))),1000000)</f>
        <v>168.754149468874</v>
      </c>
      <c r="L14" s="9">
        <f t="shared" ref="L14:L23" si="0">MATCH(MIN($B$14:$K$23),B14:K14,0)</f>
        <v>10</v>
      </c>
      <c r="N14" s="9">
        <f t="shared" ref="N14:Q14" si="1">SUM(C2*5,C4*4)/9</f>
        <v>4.87654320987654</v>
      </c>
      <c r="O14" s="9">
        <f t="shared" si="1"/>
        <v>112.098765432099</v>
      </c>
      <c r="P14" s="9">
        <f t="shared" si="1"/>
        <v>35.3086419753087</v>
      </c>
      <c r="Q14" s="9">
        <f t="shared" si="1"/>
        <v>15.7407407407407</v>
      </c>
      <c r="R14" s="21">
        <v>6</v>
      </c>
      <c r="S14" s="21">
        <v>5</v>
      </c>
    </row>
    <row r="15" s="1" customFormat="1" spans="1:19">
      <c r="A15" s="6">
        <v>2</v>
      </c>
      <c r="B15" s="1">
        <f>IFERROR(IF($A15=B$13,1000000,SQRT(SUMXMY2($C3:$F3,INDEX($C$2:$F$11,B$13,0)))),1000000)</f>
        <v>1000000</v>
      </c>
      <c r="C15" s="1">
        <f>IFERROR(IF($A15=C$13,1000000,SQRT(SUMXMY2($C3:$F3,INDEX($C$2:$F$11,C$13,0)))),1000000)</f>
        <v>1000000</v>
      </c>
      <c r="D15" s="1">
        <f>IFERROR(IF($A15=D$13,1000000,SQRT(SUMXMY2($C3:$F3,INDEX($C$2:$F$11,D$13,0)))),1000000)</f>
        <v>1000000</v>
      </c>
      <c r="E15" s="1">
        <f>IFERROR(IF($A15=E$13,1000000,SQRT(SUMXMY2($C3:$F3,INDEX($C$2:$F$11,E$13,0)))),1000000)</f>
        <v>1000000</v>
      </c>
      <c r="F15" s="1">
        <f>IFERROR(IF($A15=F$13,1000000,SQRT(SUMXMY2($C3:$F3,INDEX($C$2:$F$11,F$13,0)))),1000000)</f>
        <v>1000000</v>
      </c>
      <c r="G15" s="1">
        <f>IFERROR(IF($A15=G$13,1000000,SQRT(SUMXMY2($C3:$F3,INDEX($C$2:$F$11,G$13,0)))),1000000)</f>
        <v>1000000</v>
      </c>
      <c r="H15" s="1">
        <f>IFERROR(IF($A15=H$13,1000000,SQRT(SUMXMY2($C3:$F3,INDEX($C$2:$F$11,H$13,0)))),1000000)</f>
        <v>1000000</v>
      </c>
      <c r="I15" s="1">
        <f>IFERROR(IF($A15=I$13,1000000,SQRT(SUMXMY2($C3:$F3,INDEX($C$2:$F$11,I$13,0)))),1000000)</f>
        <v>1000000</v>
      </c>
      <c r="J15" s="1">
        <f>IFERROR(IF($A15=J$13,1000000,SQRT(SUMXMY2($C3:$F3,INDEX($C$2:$F$11,J$13,0)))),1000000)</f>
        <v>1000000</v>
      </c>
      <c r="K15" s="1">
        <f>IFERROR(IF($A15=K$13,1000000,SQRT(SUMXMY2($C3:$F3,INDEX($C$2:$F$11,K$13,0)))),1000000)</f>
        <v>1000000</v>
      </c>
      <c r="L15" s="9" t="e">
        <f t="shared" si="0"/>
        <v>#N/A</v>
      </c>
      <c r="N15" s="1">
        <v>8.77777777777778</v>
      </c>
      <c r="O15" s="1">
        <v>201.777777777778</v>
      </c>
      <c r="P15" s="1">
        <v>63.5555555555556</v>
      </c>
      <c r="Q15" s="1">
        <v>28.3333333333333</v>
      </c>
      <c r="R15" s="21">
        <v>6</v>
      </c>
      <c r="S15" s="21">
        <v>0</v>
      </c>
    </row>
    <row r="16" s="1" customFormat="1" spans="1:19">
      <c r="A16" s="22">
        <v>3</v>
      </c>
      <c r="B16" s="1">
        <f>IFERROR(IF($A16=B$13,1000000,SQRT(SUMXMY2($C4:$F4,INDEX($C$2:$F$11,B$13,0)))),1000000)</f>
        <v>1000000</v>
      </c>
      <c r="C16" s="1">
        <f>IFERROR(IF($A16=C$13,1000000,SQRT(SUMXMY2($C4:$F4,INDEX($C$2:$F$11,C$13,0)))),1000000)</f>
        <v>1000000</v>
      </c>
      <c r="D16" s="1">
        <f>IFERROR(IF($A16=D$13,1000000,SQRT(SUMXMY2($C4:$F4,INDEX($C$2:$F$11,D$13,0)))),1000000)</f>
        <v>1000000</v>
      </c>
      <c r="E16" s="1">
        <f>IFERROR(IF($A16=E$13,1000000,SQRT(SUMXMY2($C4:$F4,INDEX($C$2:$F$11,E$13,0)))),1000000)</f>
        <v>1000000</v>
      </c>
      <c r="F16" s="1">
        <f>IFERROR(IF($A16=F$13,1000000,SQRT(SUMXMY2($C4:$F4,INDEX($C$2:$F$11,F$13,0)))),1000000)</f>
        <v>1000000</v>
      </c>
      <c r="G16" s="1">
        <f>IFERROR(IF($A16=G$13,1000000,SQRT(SUMXMY2($C4:$F4,INDEX($C$2:$F$11,G$13,0)))),1000000)</f>
        <v>1000000</v>
      </c>
      <c r="H16" s="1">
        <f>IFERROR(IF($A16=H$13,1000000,SQRT(SUMXMY2($C4:$F4,INDEX($C$2:$F$11,H$13,0)))),1000000)</f>
        <v>1000000</v>
      </c>
      <c r="I16" s="1">
        <f>IFERROR(IF($A16=I$13,1000000,SQRT(SUMXMY2($C4:$F4,INDEX($C$2:$F$11,I$13,0)))),1000000)</f>
        <v>1000000</v>
      </c>
      <c r="J16" s="1">
        <f>IFERROR(IF($A16=J$13,1000000,SQRT(SUMXMY2($C4:$F4,INDEX($C$2:$F$11,J$13,0)))),1000000)</f>
        <v>1000000</v>
      </c>
      <c r="K16" s="1">
        <f>IFERROR(IF($A16=K$13,1000000,SQRT(SUMXMY2($C4:$F4,INDEX($C$2:$F$11,K$13,0)))),1000000)</f>
        <v>1000000</v>
      </c>
      <c r="L16" s="9" t="e">
        <f t="shared" si="0"/>
        <v>#N/A</v>
      </c>
      <c r="R16" s="21">
        <v>6</v>
      </c>
      <c r="S16" s="21">
        <v>5</v>
      </c>
    </row>
    <row r="17" s="1" customFormat="1" spans="1:19">
      <c r="A17" s="6">
        <v>4</v>
      </c>
      <c r="B17" s="1">
        <f>IFERROR(IF($A17=B$13,1000000,SQRT(SUMXMY2($C5:$F5,INDEX($C$2:$F$11,B$13,0)))),1000000)</f>
        <v>1000000</v>
      </c>
      <c r="C17" s="1">
        <f>IFERROR(IF($A17=C$13,1000000,SQRT(SUMXMY2($C5:$F5,INDEX($C$2:$F$11,C$13,0)))),1000000)</f>
        <v>1000000</v>
      </c>
      <c r="D17" s="1">
        <f>IFERROR(IF($A17=D$13,1000000,SQRT(SUMXMY2($C5:$F5,INDEX($C$2:$F$11,D$13,0)))),1000000)</f>
        <v>1000000</v>
      </c>
      <c r="E17" s="1">
        <f>IFERROR(IF($A17=E$13,1000000,SQRT(SUMXMY2($C5:$F5,INDEX($C$2:$F$11,E$13,0)))),1000000)</f>
        <v>1000000</v>
      </c>
      <c r="F17" s="1">
        <f>IFERROR(IF($A17=F$13,1000000,SQRT(SUMXMY2($C5:$F5,INDEX($C$2:$F$11,F$13,0)))),1000000)</f>
        <v>1000000</v>
      </c>
      <c r="G17" s="1">
        <f>IFERROR(IF($A17=G$13,1000000,SQRT(SUMXMY2($C5:$F5,INDEX($C$2:$F$11,G$13,0)))),1000000)</f>
        <v>1000000</v>
      </c>
      <c r="H17" s="1">
        <f>IFERROR(IF($A17=H$13,1000000,SQRT(SUMXMY2($C5:$F5,INDEX($C$2:$F$11,H$13,0)))),1000000)</f>
        <v>1000000</v>
      </c>
      <c r="I17" s="1">
        <f>IFERROR(IF($A17=I$13,1000000,SQRT(SUMXMY2($C5:$F5,INDEX($C$2:$F$11,I$13,0)))),1000000)</f>
        <v>1000000</v>
      </c>
      <c r="J17" s="1">
        <f>IFERROR(IF($A17=J$13,1000000,SQRT(SUMXMY2($C5:$F5,INDEX($C$2:$F$11,J$13,0)))),1000000)</f>
        <v>1000000</v>
      </c>
      <c r="K17" s="1">
        <f>IFERROR(IF($A17=K$13,1000000,SQRT(SUMXMY2($C5:$F5,INDEX($C$2:$F$11,K$13,0)))),1000000)</f>
        <v>1000000</v>
      </c>
      <c r="L17" s="9" t="e">
        <f t="shared" si="0"/>
        <v>#N/A</v>
      </c>
      <c r="R17" s="21">
        <v>4</v>
      </c>
      <c r="S17" s="21">
        <v>5</v>
      </c>
    </row>
    <row r="18" s="1" customFormat="1" spans="1:19">
      <c r="A18" s="22">
        <v>5</v>
      </c>
      <c r="B18" s="1">
        <f>IFERROR(IF($A18=B$13,1000000,SQRT(SUMXMY2($C6:$F6,INDEX($C$2:$F$11,B$13,0)))),1000000)</f>
        <v>1000000</v>
      </c>
      <c r="C18" s="1">
        <f>IFERROR(IF($A18=C$13,1000000,SQRT(SUMXMY2($C6:$F6,INDEX($C$2:$F$11,C$13,0)))),1000000)</f>
        <v>1000000</v>
      </c>
      <c r="D18" s="1">
        <f>IFERROR(IF($A18=D$13,1000000,SQRT(SUMXMY2($C6:$F6,INDEX($C$2:$F$11,D$13,0)))),1000000)</f>
        <v>1000000</v>
      </c>
      <c r="E18" s="1">
        <f>IFERROR(IF($A18=E$13,1000000,SQRT(SUMXMY2($C6:$F6,INDEX($C$2:$F$11,E$13,0)))),1000000)</f>
        <v>1000000</v>
      </c>
      <c r="F18" s="1">
        <f>IFERROR(IF($A18=F$13,1000000,SQRT(SUMXMY2($C6:$F6,INDEX($C$2:$F$11,F$13,0)))),1000000)</f>
        <v>1000000</v>
      </c>
      <c r="G18" s="1">
        <f>IFERROR(IF($A18=G$13,1000000,SQRT(SUMXMY2($C6:$F6,INDEX($C$2:$F$11,G$13,0)))),1000000)</f>
        <v>1000000</v>
      </c>
      <c r="H18" s="1">
        <f>IFERROR(IF($A18=H$13,1000000,SQRT(SUMXMY2($C6:$F6,INDEX($C$2:$F$11,H$13,0)))),1000000)</f>
        <v>1000000</v>
      </c>
      <c r="I18" s="1">
        <f>IFERROR(IF($A18=I$13,1000000,SQRT(SUMXMY2($C6:$F6,INDEX($C$2:$F$11,I$13,0)))),1000000)</f>
        <v>1000000</v>
      </c>
      <c r="J18" s="1">
        <f>IFERROR(IF($A18=J$13,1000000,SQRT(SUMXMY2($C6:$F6,INDEX($C$2:$F$11,J$13,0)))),1000000)</f>
        <v>1000000</v>
      </c>
      <c r="K18" s="1">
        <f>IFERROR(IF($A18=K$13,1000000,SQRT(SUMXMY2($C6:$F6,INDEX($C$2:$F$11,K$13,0)))),1000000)</f>
        <v>1000000</v>
      </c>
      <c r="L18" s="9" t="e">
        <f t="shared" si="0"/>
        <v>#N/A</v>
      </c>
      <c r="R18" s="21">
        <v>4</v>
      </c>
      <c r="S18" s="21">
        <v>7</v>
      </c>
    </row>
    <row r="19" s="1" customFormat="1" spans="1:19">
      <c r="A19" s="6">
        <v>6</v>
      </c>
      <c r="B19" s="1">
        <f>IFERROR(IF($A19=B$13,1000000,SQRT(SUMXMY2($C7:$F7,INDEX($C$2:$F$11,B$13,0)))),1000000)</f>
        <v>1000000</v>
      </c>
      <c r="C19" s="1">
        <f>IFERROR(IF($A19=C$13,1000000,SQRT(SUMXMY2($C7:$F7,INDEX($C$2:$F$11,C$13,0)))),1000000)</f>
        <v>1000000</v>
      </c>
      <c r="D19" s="1">
        <f>IFERROR(IF($A19=D$13,1000000,SQRT(SUMXMY2($C7:$F7,INDEX($C$2:$F$11,D$13,0)))),1000000)</f>
        <v>1000000</v>
      </c>
      <c r="E19" s="1">
        <f>IFERROR(IF($A19=E$13,1000000,SQRT(SUMXMY2($C7:$F7,INDEX($C$2:$F$11,E$13,0)))),1000000)</f>
        <v>1000000</v>
      </c>
      <c r="F19" s="1">
        <f>IFERROR(IF($A19=F$13,1000000,SQRT(SUMXMY2($C7:$F7,INDEX($C$2:$F$11,F$13,0)))),1000000)</f>
        <v>1000000</v>
      </c>
      <c r="G19" s="1">
        <f>IFERROR(IF($A19=G$13,1000000,SQRT(SUMXMY2($C7:$F7,INDEX($C$2:$F$11,G$13,0)))),1000000)</f>
        <v>1000000</v>
      </c>
      <c r="H19" s="1">
        <f>IFERROR(IF($A19=H$13,1000000,SQRT(SUMXMY2($C7:$F7,INDEX($C$2:$F$11,H$13,0)))),1000000)</f>
        <v>1000000</v>
      </c>
      <c r="I19" s="1">
        <f>IFERROR(IF($A19=I$13,1000000,SQRT(SUMXMY2($C7:$F7,INDEX($C$2:$F$11,I$13,0)))),1000000)</f>
        <v>1000000</v>
      </c>
      <c r="J19" s="1">
        <f>IFERROR(IF($A19=J$13,1000000,SQRT(SUMXMY2($C7:$F7,INDEX($C$2:$F$11,J$13,0)))),1000000)</f>
        <v>1000000</v>
      </c>
      <c r="K19" s="1">
        <f>IFERROR(IF($A19=K$13,1000000,SQRT(SUMXMY2($C7:$F7,INDEX($C$2:$F$11,K$13,0)))),1000000)</f>
        <v>1000000</v>
      </c>
      <c r="L19" s="9" t="e">
        <f t="shared" si="0"/>
        <v>#N/A</v>
      </c>
      <c r="R19" s="21">
        <v>7</v>
      </c>
      <c r="S19" s="21">
        <v>7</v>
      </c>
    </row>
    <row r="20" s="1" customFormat="1" spans="1:19">
      <c r="A20" s="22">
        <v>7</v>
      </c>
      <c r="B20" s="1">
        <f>IFERROR(IF($A20=B$13,1000000,SQRT(SUMXMY2($C8:$F8,INDEX($C$2:$F$11,B$13,0)))),1000000)</f>
        <v>1000000</v>
      </c>
      <c r="C20" s="1">
        <f>IFERROR(IF($A20=C$13,1000000,SQRT(SUMXMY2($C8:$F8,INDEX($C$2:$F$11,C$13,0)))),1000000)</f>
        <v>1000000</v>
      </c>
      <c r="D20" s="1">
        <f>IFERROR(IF($A20=D$13,1000000,SQRT(SUMXMY2($C8:$F8,INDEX($C$2:$F$11,D$13,0)))),1000000)</f>
        <v>1000000</v>
      </c>
      <c r="E20" s="1">
        <f>IFERROR(IF($A20=E$13,1000000,SQRT(SUMXMY2($C8:$F8,INDEX($C$2:$F$11,E$13,0)))),1000000)</f>
        <v>1000000</v>
      </c>
      <c r="F20" s="1">
        <f>IFERROR(IF($A20=F$13,1000000,SQRT(SUMXMY2($C8:$F8,INDEX($C$2:$F$11,F$13,0)))),1000000)</f>
        <v>1000000</v>
      </c>
      <c r="G20" s="1">
        <f>IFERROR(IF($A20=G$13,1000000,SQRT(SUMXMY2($C8:$F8,INDEX($C$2:$F$11,G$13,0)))),1000000)</f>
        <v>1000000</v>
      </c>
      <c r="H20" s="1">
        <f>IFERROR(IF($A20=H$13,1000000,SQRT(SUMXMY2($C8:$F8,INDEX($C$2:$F$11,H$13,0)))),1000000)</f>
        <v>1000000</v>
      </c>
      <c r="I20" s="1">
        <f>IFERROR(IF($A20=I$13,1000000,SQRT(SUMXMY2($C8:$F8,INDEX($C$2:$F$11,I$13,0)))),1000000)</f>
        <v>1000000</v>
      </c>
      <c r="J20" s="1">
        <f>IFERROR(IF($A20=J$13,1000000,SQRT(SUMXMY2($C8:$F8,INDEX($C$2:$F$11,J$13,0)))),1000000)</f>
        <v>1000000</v>
      </c>
      <c r="K20" s="1">
        <f>IFERROR(IF($A20=K$13,1000000,SQRT(SUMXMY2($C8:$F8,INDEX($C$2:$F$11,K$13,0)))),1000000)</f>
        <v>1000000</v>
      </c>
      <c r="L20" s="9" t="e">
        <f t="shared" si="0"/>
        <v>#N/A</v>
      </c>
      <c r="R20" s="21">
        <v>7</v>
      </c>
      <c r="S20" s="21">
        <v>0</v>
      </c>
    </row>
    <row r="21" s="1" customFormat="1" spans="1:19">
      <c r="A21" s="6">
        <v>8</v>
      </c>
      <c r="B21" s="1">
        <f>IFERROR(IF($A21=B$13,1000000,SQRT(SUMXMY2($C9:$F9,INDEX($C$2:$F$11,B$13,0)))),1000000)</f>
        <v>1000000</v>
      </c>
      <c r="C21" s="1">
        <f>IFERROR(IF($A21=C$13,1000000,SQRT(SUMXMY2($C9:$F9,INDEX($C$2:$F$11,C$13,0)))),1000000)</f>
        <v>1000000</v>
      </c>
      <c r="D21" s="1">
        <f>IFERROR(IF($A21=D$13,1000000,SQRT(SUMXMY2($C9:$F9,INDEX($C$2:$F$11,D$13,0)))),1000000)</f>
        <v>1000000</v>
      </c>
      <c r="E21" s="1">
        <f>IFERROR(IF($A21=E$13,1000000,SQRT(SUMXMY2($C9:$F9,INDEX($C$2:$F$11,E$13,0)))),1000000)</f>
        <v>1000000</v>
      </c>
      <c r="F21" s="1">
        <f>IFERROR(IF($A21=F$13,1000000,SQRT(SUMXMY2($C9:$F9,INDEX($C$2:$F$11,F$13,0)))),1000000)</f>
        <v>1000000</v>
      </c>
      <c r="G21" s="1">
        <f>IFERROR(IF($A21=G$13,1000000,SQRT(SUMXMY2($C9:$F9,INDEX($C$2:$F$11,G$13,0)))),1000000)</f>
        <v>1000000</v>
      </c>
      <c r="H21" s="1">
        <f>IFERROR(IF($A21=H$13,1000000,SQRT(SUMXMY2($C9:$F9,INDEX($C$2:$F$11,H$13,0)))),1000000)</f>
        <v>1000000</v>
      </c>
      <c r="I21" s="1">
        <f>IFERROR(IF($A21=I$13,1000000,SQRT(SUMXMY2($C9:$F9,INDEX($C$2:$F$11,I$13,0)))),1000000)</f>
        <v>1000000</v>
      </c>
      <c r="J21" s="1">
        <f>IFERROR(IF($A21=J$13,1000000,SQRT(SUMXMY2($C9:$F9,INDEX($C$2:$F$11,J$13,0)))),1000000)</f>
        <v>1000000</v>
      </c>
      <c r="K21" s="1">
        <f>IFERROR(IF($A21=K$13,1000000,SQRT(SUMXMY2($C9:$F9,INDEX($C$2:$F$11,K$13,0)))),1000000)</f>
        <v>1000000</v>
      </c>
      <c r="L21" s="9" t="e">
        <f t="shared" si="0"/>
        <v>#N/A</v>
      </c>
      <c r="R21" s="21">
        <v>7</v>
      </c>
      <c r="S21" s="21">
        <v>7</v>
      </c>
    </row>
    <row r="22" s="1" customFormat="1" spans="1:19">
      <c r="A22" s="22">
        <v>9</v>
      </c>
      <c r="B22" s="1">
        <f>IFERROR(IF($A22=B$13,1000000,SQRT(SUMXMY2($C10:$F10,INDEX($C$2:$F$11,B$13,0)))),1000000)</f>
        <v>1000000</v>
      </c>
      <c r="C22" s="1">
        <f>IFERROR(IF($A22=C$13,1000000,SQRT(SUMXMY2($C10:$F10,INDEX($C$2:$F$11,C$13,0)))),1000000)</f>
        <v>1000000</v>
      </c>
      <c r="D22" s="1">
        <f>IFERROR(IF($A22=D$13,1000000,SQRT(SUMXMY2($C10:$F10,INDEX($C$2:$F$11,D$13,0)))),1000000)</f>
        <v>1000000</v>
      </c>
      <c r="E22" s="1">
        <f>IFERROR(IF($A22=E$13,1000000,SQRT(SUMXMY2($C10:$F10,INDEX($C$2:$F$11,E$13,0)))),1000000)</f>
        <v>1000000</v>
      </c>
      <c r="F22" s="1">
        <f>IFERROR(IF($A22=F$13,1000000,SQRT(SUMXMY2($C10:$F10,INDEX($C$2:$F$11,F$13,0)))),1000000)</f>
        <v>1000000</v>
      </c>
      <c r="G22" s="1">
        <f>IFERROR(IF($A22=G$13,1000000,SQRT(SUMXMY2($C10:$F10,INDEX($C$2:$F$11,G$13,0)))),1000000)</f>
        <v>1000000</v>
      </c>
      <c r="H22" s="1">
        <f>IFERROR(IF($A22=H$13,1000000,SQRT(SUMXMY2($C10:$F10,INDEX($C$2:$F$11,H$13,0)))),1000000)</f>
        <v>1000000</v>
      </c>
      <c r="I22" s="1">
        <f>IFERROR(IF($A22=I$13,1000000,SQRT(SUMXMY2($C10:$F10,INDEX($C$2:$F$11,I$13,0)))),1000000)</f>
        <v>1000000</v>
      </c>
      <c r="J22" s="1">
        <f>IFERROR(IF($A22=J$13,1000000,SQRT(SUMXMY2($C10:$F10,INDEX($C$2:$F$11,J$13,0)))),1000000)</f>
        <v>1000000</v>
      </c>
      <c r="K22" s="1">
        <f>IFERROR(IF($A22=K$13,1000000,SQRT(SUMXMY2($C10:$F10,INDEX($C$2:$F$11,K$13,0)))),1000000)</f>
        <v>1000000</v>
      </c>
      <c r="L22" s="9" t="e">
        <f t="shared" si="0"/>
        <v>#N/A</v>
      </c>
      <c r="R22" s="21">
        <v>5</v>
      </c>
      <c r="S22" s="21">
        <v>7</v>
      </c>
    </row>
    <row r="23" s="1" customFormat="1" spans="1:19">
      <c r="A23" s="6">
        <v>10</v>
      </c>
      <c r="B23" s="1">
        <f>IFERROR(IF($A23=B$13,1000000,SQRT(SUMXMY2($C11:$F11,INDEX($C$2:$F$11,B$13,0)))),1000000)</f>
        <v>168.754149468874</v>
      </c>
      <c r="C23" s="1">
        <f>IFERROR(IF($A23=C$13,1000000,SQRT(SUMXMY2($C11:$F11,INDEX($C$2:$F$11,C$13,0)))),1000000)</f>
        <v>1000000</v>
      </c>
      <c r="D23" s="1">
        <f>IFERROR(IF($A23=D$13,1000000,SQRT(SUMXMY2($C11:$F11,INDEX($C$2:$F$11,D$13,0)))),1000000)</f>
        <v>1000000</v>
      </c>
      <c r="E23" s="1">
        <f>IFERROR(IF($A23=E$13,1000000,SQRT(SUMXMY2($C11:$F11,INDEX($C$2:$F$11,E$13,0)))),1000000)</f>
        <v>1000000</v>
      </c>
      <c r="F23" s="1">
        <f>IFERROR(IF($A23=F$13,1000000,SQRT(SUMXMY2($C11:$F11,INDEX($C$2:$F$11,F$13,0)))),1000000)</f>
        <v>1000000</v>
      </c>
      <c r="G23" s="1">
        <f>IFERROR(IF($A23=G$13,1000000,SQRT(SUMXMY2($C11:$F11,INDEX($C$2:$F$11,G$13,0)))),1000000)</f>
        <v>1000000</v>
      </c>
      <c r="H23" s="1">
        <f>IFERROR(IF($A23=H$13,1000000,SQRT(SUMXMY2($C11:$F11,INDEX($C$2:$F$11,H$13,0)))),1000000)</f>
        <v>1000000</v>
      </c>
      <c r="I23" s="1">
        <f>IFERROR(IF($A23=I$13,1000000,SQRT(SUMXMY2($C11:$F11,INDEX($C$2:$F$11,I$13,0)))),1000000)</f>
        <v>1000000</v>
      </c>
      <c r="J23" s="1">
        <f>IFERROR(IF($A23=J$13,1000000,SQRT(SUMXMY2($C11:$F11,INDEX($C$2:$F$11,J$13,0)))),1000000)</f>
        <v>1000000</v>
      </c>
      <c r="K23" s="1">
        <f>IFERROR(IF($A23=K$13,1000000,SQRT(SUMXMY2($C11:$F11,INDEX($C$2:$F$11,K$13,0)))),1000000)</f>
        <v>1000000</v>
      </c>
      <c r="L23" s="9">
        <f t="shared" si="0"/>
        <v>1</v>
      </c>
      <c r="R23" s="21">
        <v>5</v>
      </c>
      <c r="S23" s="21">
        <v>8</v>
      </c>
    </row>
    <row r="24" spans="18:19">
      <c r="R24" s="21">
        <v>11</v>
      </c>
      <c r="S24" s="21">
        <v>8</v>
      </c>
    </row>
    <row r="25" spans="18:19">
      <c r="R25" s="21">
        <v>11</v>
      </c>
      <c r="S25" s="21">
        <v>6</v>
      </c>
    </row>
    <row r="26" spans="18:19">
      <c r="R26" s="21">
        <v>9</v>
      </c>
      <c r="S26" s="21">
        <v>6</v>
      </c>
    </row>
    <row r="27" spans="18:19">
      <c r="R27" s="21">
        <v>9</v>
      </c>
      <c r="S27" s="21">
        <v>0</v>
      </c>
    </row>
    <row r="28" spans="18:19">
      <c r="R28" s="21">
        <v>9</v>
      </c>
      <c r="S28" s="21">
        <v>6</v>
      </c>
    </row>
    <row r="29" spans="18:19">
      <c r="R29" s="21">
        <v>12</v>
      </c>
      <c r="S29" s="21">
        <v>6</v>
      </c>
    </row>
    <row r="30" spans="18:19">
      <c r="R30" s="21">
        <v>12</v>
      </c>
      <c r="S30" s="21">
        <v>4</v>
      </c>
    </row>
    <row r="31" spans="18:19">
      <c r="R31" s="21">
        <v>11</v>
      </c>
      <c r="S31" s="21">
        <v>4</v>
      </c>
    </row>
    <row r="32" spans="18:19">
      <c r="R32" s="21">
        <v>11</v>
      </c>
      <c r="S32" s="21">
        <v>2</v>
      </c>
    </row>
    <row r="33" spans="18:19">
      <c r="R33" s="21">
        <v>10</v>
      </c>
      <c r="S33" s="21">
        <v>2</v>
      </c>
    </row>
    <row r="34" spans="18:19">
      <c r="R34" s="21">
        <v>10</v>
      </c>
      <c r="S34" s="21">
        <v>0</v>
      </c>
    </row>
    <row r="35" spans="18:19">
      <c r="R35" s="21">
        <v>10</v>
      </c>
      <c r="S35" s="21">
        <v>2</v>
      </c>
    </row>
    <row r="36" spans="18:19">
      <c r="R36" s="21">
        <v>12</v>
      </c>
      <c r="S36" s="21">
        <v>2</v>
      </c>
    </row>
    <row r="37" spans="18:19">
      <c r="R37" s="21">
        <v>12</v>
      </c>
      <c r="S37" s="21">
        <v>0</v>
      </c>
    </row>
    <row r="38" spans="18:19">
      <c r="R38" s="21">
        <v>12</v>
      </c>
      <c r="S38" s="21">
        <v>2</v>
      </c>
    </row>
    <row r="39" spans="18:19">
      <c r="R39" s="21">
        <v>11</v>
      </c>
      <c r="S39" s="21">
        <v>2</v>
      </c>
    </row>
    <row r="40" spans="18:19">
      <c r="R40" s="21">
        <v>11</v>
      </c>
      <c r="S40" s="21">
        <v>4</v>
      </c>
    </row>
    <row r="41" spans="18:19">
      <c r="R41" s="21">
        <v>13</v>
      </c>
      <c r="S41" s="21">
        <v>4</v>
      </c>
    </row>
    <row r="42" spans="18:19">
      <c r="R42" s="21">
        <v>13</v>
      </c>
      <c r="S42" s="21">
        <v>0</v>
      </c>
    </row>
    <row r="43" spans="18:19">
      <c r="R43" s="21">
        <v>13</v>
      </c>
      <c r="S43" s="21">
        <v>4</v>
      </c>
    </row>
    <row r="44" spans="18:19">
      <c r="R44" s="21">
        <v>12</v>
      </c>
      <c r="S44" s="21">
        <v>4</v>
      </c>
    </row>
    <row r="45" spans="18:19">
      <c r="R45" s="21">
        <v>12</v>
      </c>
      <c r="S45" s="21">
        <v>6</v>
      </c>
    </row>
    <row r="46" spans="18:19">
      <c r="R46" s="21">
        <v>11</v>
      </c>
      <c r="S46" s="21">
        <v>6</v>
      </c>
    </row>
    <row r="47" spans="18:19">
      <c r="R47" s="21">
        <v>11</v>
      </c>
      <c r="S47" s="21">
        <v>8</v>
      </c>
    </row>
    <row r="48" spans="18:19">
      <c r="R48" s="21">
        <v>8</v>
      </c>
      <c r="S48" s="21">
        <v>8</v>
      </c>
    </row>
    <row r="49" spans="18:19">
      <c r="R49" s="21">
        <v>8</v>
      </c>
      <c r="S49" s="21">
        <v>9</v>
      </c>
    </row>
    <row r="50" spans="18:19">
      <c r="R50" s="21">
        <v>15</v>
      </c>
      <c r="S50" s="21">
        <v>9</v>
      </c>
    </row>
    <row r="51" spans="18:19">
      <c r="R51" s="21">
        <v>15</v>
      </c>
      <c r="S51" s="21">
        <v>0</v>
      </c>
    </row>
    <row r="52" spans="18:19">
      <c r="R52" s="21">
        <v>15</v>
      </c>
      <c r="S52" s="21">
        <v>9</v>
      </c>
    </row>
    <row r="53" spans="18:19">
      <c r="R53" s="21">
        <v>9</v>
      </c>
      <c r="S53" s="21">
        <v>9</v>
      </c>
    </row>
    <row r="54" spans="18:19">
      <c r="R54" s="21">
        <v>9</v>
      </c>
      <c r="S54" s="21">
        <v>10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abSelected="1" workbookViewId="0">
      <selection activeCell="D39" sqref="D39"/>
    </sheetView>
  </sheetViews>
  <sheetFormatPr defaultColWidth="9" defaultRowHeight="15"/>
  <cols>
    <col min="1" max="1" width="9" style="1"/>
    <col min="2" max="11" width="12.8571428571429" style="1"/>
    <col min="12" max="16384" width="9" style="1"/>
  </cols>
  <sheetData>
    <row r="1" spans="1:1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7">
      <c r="A2" s="4">
        <v>1</v>
      </c>
      <c r="B2" s="1" t="s">
        <v>16</v>
      </c>
      <c r="C2" s="1">
        <v>12</v>
      </c>
      <c r="D2" s="1">
        <v>193</v>
      </c>
      <c r="E2" s="1">
        <v>51</v>
      </c>
      <c r="F2" s="1">
        <v>21</v>
      </c>
      <c r="G2" s="1">
        <v>11</v>
      </c>
    </row>
    <row r="3" spans="1:7">
      <c r="A3" s="4">
        <v>2</v>
      </c>
      <c r="B3" s="1" t="s">
        <v>24</v>
      </c>
      <c r="C3" s="1">
        <v>9</v>
      </c>
      <c r="D3" s="1">
        <v>222</v>
      </c>
      <c r="E3" s="1">
        <v>39</v>
      </c>
      <c r="F3" s="1">
        <v>42</v>
      </c>
      <c r="G3" s="1">
        <v>12</v>
      </c>
    </row>
    <row r="4" spans="1:7">
      <c r="A4" s="4">
        <v>3</v>
      </c>
      <c r="B4" s="1" t="s">
        <v>21</v>
      </c>
      <c r="C4" s="1">
        <v>6</v>
      </c>
      <c r="D4" s="1">
        <v>226</v>
      </c>
      <c r="E4" s="1">
        <v>72</v>
      </c>
      <c r="F4" s="1">
        <v>30</v>
      </c>
      <c r="G4" s="1">
        <v>13</v>
      </c>
    </row>
    <row r="5" spans="1:7">
      <c r="A5" s="4">
        <v>4</v>
      </c>
      <c r="B5" s="1" t="s">
        <v>17</v>
      </c>
      <c r="C5" s="1">
        <v>8</v>
      </c>
      <c r="D5" s="1">
        <v>177</v>
      </c>
      <c r="E5" s="1">
        <v>50</v>
      </c>
      <c r="F5" s="1">
        <v>17</v>
      </c>
      <c r="G5" s="1">
        <v>14</v>
      </c>
    </row>
    <row r="6" spans="1:7">
      <c r="A6" s="4">
        <v>5</v>
      </c>
      <c r="B6" s="1" t="s">
        <v>22</v>
      </c>
      <c r="C6" s="1">
        <v>7</v>
      </c>
      <c r="D6" s="1">
        <v>235</v>
      </c>
      <c r="E6" s="1">
        <v>86</v>
      </c>
      <c r="F6" s="1">
        <v>39</v>
      </c>
      <c r="G6" s="1">
        <v>15</v>
      </c>
    </row>
    <row r="7" spans="1:7">
      <c r="A7" s="4">
        <v>6</v>
      </c>
      <c r="B7" s="1" t="s">
        <v>19</v>
      </c>
      <c r="C7" s="1">
        <v>5</v>
      </c>
      <c r="D7" s="1">
        <v>170</v>
      </c>
      <c r="E7" s="1">
        <v>78</v>
      </c>
      <c r="F7" s="1">
        <v>37</v>
      </c>
      <c r="G7" s="1">
        <v>16</v>
      </c>
    </row>
    <row r="8" spans="1:7">
      <c r="A8" s="4">
        <v>7</v>
      </c>
      <c r="B8" s="1" t="s">
        <v>25</v>
      </c>
      <c r="C8" s="1">
        <v>0</v>
      </c>
      <c r="D8" s="1">
        <v>35</v>
      </c>
      <c r="E8" s="1">
        <v>75</v>
      </c>
      <c r="F8" s="1">
        <v>7</v>
      </c>
      <c r="G8" s="1">
        <v>17</v>
      </c>
    </row>
    <row r="9" spans="1:7">
      <c r="A9" s="4">
        <v>8</v>
      </c>
      <c r="B9" s="1" t="s">
        <v>18</v>
      </c>
      <c r="C9" s="1">
        <v>4</v>
      </c>
      <c r="D9" s="1">
        <v>198</v>
      </c>
      <c r="E9" s="1">
        <v>70</v>
      </c>
      <c r="F9" s="1">
        <v>15</v>
      </c>
      <c r="G9" s="1">
        <v>18</v>
      </c>
    </row>
    <row r="10" spans="1:7">
      <c r="A10" s="4">
        <v>9</v>
      </c>
      <c r="B10" s="1" t="s">
        <v>23</v>
      </c>
      <c r="C10" s="1">
        <v>13</v>
      </c>
      <c r="D10" s="1">
        <v>259</v>
      </c>
      <c r="E10" s="1">
        <v>74</v>
      </c>
      <c r="F10" s="1">
        <v>30</v>
      </c>
      <c r="G10" s="1">
        <v>19</v>
      </c>
    </row>
    <row r="11" spans="1:7">
      <c r="A11" s="5">
        <v>10</v>
      </c>
      <c r="B11" s="1" t="s">
        <v>20</v>
      </c>
      <c r="C11" s="1">
        <v>15</v>
      </c>
      <c r="D11" s="1">
        <v>136</v>
      </c>
      <c r="E11" s="1">
        <v>52</v>
      </c>
      <c r="F11" s="1">
        <v>24</v>
      </c>
      <c r="G11" s="1">
        <v>20</v>
      </c>
    </row>
    <row r="13" spans="2:11"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</row>
    <row r="14" spans="1:12">
      <c r="A14" s="6">
        <v>1</v>
      </c>
      <c r="B14" s="7">
        <f>IFERROR(IF($A14=B$13,1000000,SQRT(SUMXMY2($C2:$F2,INDEX($C$2:$F$11,B$13,0)))),1000000)</f>
        <v>1000000</v>
      </c>
      <c r="C14" s="7">
        <f>IFERROR(IF($A14=C$13,1000000,SQRT(SUMXMY2($C2:$F2,INDEX($C$2:$F$11,C$13,0)))),1000000)</f>
        <v>37.8813938497516</v>
      </c>
      <c r="D14" s="7">
        <f>IFERROR(IF($A14=D$13,1000000,SQRT(SUMXMY2($C2:$F2,INDEX($C$2:$F$11,D$13,0)))),1000000)</f>
        <v>40.5832477754061</v>
      </c>
      <c r="E14" s="7">
        <f>IFERROR(IF($A14=E$13,1000000,SQRT(SUMXMY2($C2:$F2,INDEX($C$2:$F$11,E$13,0)))),1000000)</f>
        <v>17</v>
      </c>
      <c r="F14" s="7">
        <f>IFERROR(IF($A14=F$13,1000000,SQRT(SUMXMY2($C2:$F2,INDEX($C$2:$F$11,F$13,0)))),1000000)</f>
        <v>57.7754273026172</v>
      </c>
      <c r="G14" s="7">
        <f>IFERROR(IF($A14=G$13,1000000,SQRT(SUMXMY2($C2:$F2,INDEX($C$2:$F$11,G$13,0)))),1000000)</f>
        <v>39.5347948015416</v>
      </c>
      <c r="H14" s="7">
        <f>IFERROR(IF($A14=H$13,1000000,SQRT(SUMXMY2($C2:$F2,INDEX($C$2:$F$11,H$13,0)))),1000000)</f>
        <v>160.872620417522</v>
      </c>
      <c r="I14" s="7">
        <f>IFERROR(IF($A14=I$13,1000000,SQRT(SUMXMY2($C2:$F2,INDEX($C$2:$F$11,I$13,0)))),1000000)</f>
        <v>22.0454076850486</v>
      </c>
      <c r="J14" s="7">
        <f>IFERROR(IF($A14=J$13,1000000,SQRT(SUMXMY2($C2:$F2,INDEX($C$2:$F$11,J$13,0)))),1000000)</f>
        <v>70.4769465853906</v>
      </c>
      <c r="K14" s="7">
        <f>IFERROR(IF($A14=K$13,1000000,SQRT(SUMXMY2($C2:$F2,INDEX($C$2:$F$11,K$13,0)))),1000000)</f>
        <v>57.1664237118258</v>
      </c>
      <c r="L14" s="9">
        <f t="shared" ref="L14:L23" si="0">MATCH(MIN($B$14:$K$23),B14:K14,0)</f>
        <v>4</v>
      </c>
    </row>
    <row r="15" spans="1:12">
      <c r="A15" s="6">
        <v>2</v>
      </c>
      <c r="B15" s="7">
        <f>IFERROR(IF($A15=B$13,1000000,SQRT(SUMXMY2($C3:$F3,INDEX($C$2:$F$11,B$13,0)))),1000000)</f>
        <v>37.8813938497516</v>
      </c>
      <c r="C15" s="7">
        <f>IFERROR(IF($A15=C$13,1000000,SQRT(SUMXMY2($C3:$F3,INDEX($C$2:$F$11,C$13,0)))),1000000)</f>
        <v>1000000</v>
      </c>
      <c r="D15" s="7">
        <f>IFERROR(IF($A15=D$13,1000000,SQRT(SUMXMY2($C3:$F3,INDEX($C$2:$F$11,D$13,0)))),1000000)</f>
        <v>35.4682957019364</v>
      </c>
      <c r="E15" s="7">
        <f>IFERROR(IF($A15=E$13,1000000,SQRT(SUMXMY2($C3:$F3,INDEX($C$2:$F$11,E$13,0)))),1000000)</f>
        <v>52.6497863243527</v>
      </c>
      <c r="F15" s="7">
        <f>IFERROR(IF($A15=F$13,1000000,SQRT(SUMXMY2($C3:$F3,INDEX($C$2:$F$11,F$13,0)))),1000000)</f>
        <v>48.8978527135906</v>
      </c>
      <c r="G15" s="7">
        <f>IFERROR(IF($A15=G$13,1000000,SQRT(SUMXMY2($C3:$F3,INDEX($C$2:$F$11,G$13,0)))),1000000)</f>
        <v>65.3146231712317</v>
      </c>
      <c r="H15" s="7">
        <f>IFERROR(IF($A15=H$13,1000000,SQRT(SUMXMY2($C3:$F3,INDEX($C$2:$F$11,H$13,0)))),1000000)</f>
        <v>193.832401832098</v>
      </c>
      <c r="I15" s="7">
        <f>IFERROR(IF($A15=I$13,1000000,SQRT(SUMXMY2($C3:$F3,INDEX($C$2:$F$11,I$13,0)))),1000000)</f>
        <v>47.8643917750973</v>
      </c>
      <c r="J15" s="7">
        <f>IFERROR(IF($A15=J$13,1000000,SQRT(SUMXMY2($C3:$F3,INDEX($C$2:$F$11,J$13,0)))),1000000)</f>
        <v>52.4785670536077</v>
      </c>
      <c r="K15" s="7">
        <f>IFERROR(IF($A15=K$13,1000000,SQRT(SUMXMY2($C3:$F3,INDEX($C$2:$F$11,K$13,0)))),1000000)</f>
        <v>89.0224690738243</v>
      </c>
      <c r="L15" s="9" t="e">
        <f t="shared" si="0"/>
        <v>#N/A</v>
      </c>
    </row>
    <row r="16" spans="1:12">
      <c r="A16" s="6">
        <v>3</v>
      </c>
      <c r="B16" s="7">
        <f>IFERROR(IF($A16=B$13,1000000,SQRT(SUMXMY2($C4:$F4,INDEX($C$2:$F$11,B$13,0)))),1000000)</f>
        <v>40.5832477754061</v>
      </c>
      <c r="C16" s="7">
        <f>IFERROR(IF($A16=C$13,1000000,SQRT(SUMXMY2($C4:$F4,INDEX($C$2:$F$11,C$13,0)))),1000000)</f>
        <v>35.4682957019364</v>
      </c>
      <c r="D16" s="7">
        <f>IFERROR(IF($A16=D$13,1000000,SQRT(SUMXMY2($C4:$F4,INDEX($C$2:$F$11,D$13,0)))),1000000)</f>
        <v>1000000</v>
      </c>
      <c r="E16" s="7">
        <f>IFERROR(IF($A16=E$13,1000000,SQRT(SUMXMY2($C4:$F4,INDEX($C$2:$F$11,E$13,0)))),1000000)</f>
        <v>55.299186250794</v>
      </c>
      <c r="F16" s="7">
        <f>IFERROR(IF($A16=F$13,1000000,SQRT(SUMXMY2($C4:$F4,INDEX($C$2:$F$11,F$13,0)))),1000000)</f>
        <v>18.9472953214964</v>
      </c>
      <c r="G16" s="7">
        <f>IFERROR(IF($A16=G$13,1000000,SQRT(SUMXMY2($C4:$F4,INDEX($C$2:$F$11,G$13,0)))),1000000)</f>
        <v>56.7626637852735</v>
      </c>
      <c r="H16" s="7">
        <f>IFERROR(IF($A16=H$13,1000000,SQRT(SUMXMY2($C4:$F4,INDEX($C$2:$F$11,H$13,0)))),1000000)</f>
        <v>192.496753219373</v>
      </c>
      <c r="I16" s="7">
        <f>IFERROR(IF($A16=I$13,1000000,SQRT(SUMXMY2($C4:$F4,INDEX($C$2:$F$11,I$13,0)))),1000000)</f>
        <v>31.8904374382039</v>
      </c>
      <c r="J16" s="7">
        <f>IFERROR(IF($A16=J$13,1000000,SQRT(SUMXMY2($C4:$F4,INDEX($C$2:$F$11,J$13,0)))),1000000)</f>
        <v>33.7934904974316</v>
      </c>
      <c r="K16" s="7">
        <f>IFERROR(IF($A16=K$13,1000000,SQRT(SUMXMY2($C4:$F4,INDEX($C$2:$F$11,K$13,0)))),1000000)</f>
        <v>92.82779756086</v>
      </c>
      <c r="L16" s="9" t="e">
        <f t="shared" si="0"/>
        <v>#N/A</v>
      </c>
    </row>
    <row r="17" spans="1:12">
      <c r="A17" s="6">
        <v>4</v>
      </c>
      <c r="B17" s="7">
        <f>IFERROR(IF($A17=B$13,1000000,SQRT(SUMXMY2($C5:$F5,INDEX($C$2:$F$11,B$13,0)))),1000000)</f>
        <v>17</v>
      </c>
      <c r="C17" s="7">
        <f>IFERROR(IF($A17=C$13,1000000,SQRT(SUMXMY2($C5:$F5,INDEX($C$2:$F$11,C$13,0)))),1000000)</f>
        <v>52.6497863243527</v>
      </c>
      <c r="D17" s="7">
        <f>IFERROR(IF($A17=D$13,1000000,SQRT(SUMXMY2($C5:$F5,INDEX($C$2:$F$11,D$13,0)))),1000000)</f>
        <v>55.299186250794</v>
      </c>
      <c r="E17" s="7">
        <f>IFERROR(IF($A17=E$13,1000000,SQRT(SUMXMY2($C5:$F5,INDEX($C$2:$F$11,E$13,0)))),1000000)</f>
        <v>1000000</v>
      </c>
      <c r="F17" s="7">
        <f>IFERROR(IF($A17=F$13,1000000,SQRT(SUMXMY2($C5:$F5,INDEX($C$2:$F$11,F$13,0)))),1000000)</f>
        <v>71.7286553617172</v>
      </c>
      <c r="G17" s="7">
        <f>IFERROR(IF($A17=G$13,1000000,SQRT(SUMXMY2($C5:$F5,INDEX($C$2:$F$11,G$13,0)))),1000000)</f>
        <v>35.2420203734122</v>
      </c>
      <c r="H17" s="7">
        <f>IFERROR(IF($A17=H$13,1000000,SQRT(SUMXMY2($C5:$F5,INDEX($C$2:$F$11,H$13,0)))),1000000)</f>
        <v>144.751511218363</v>
      </c>
      <c r="I17" s="7">
        <f>IFERROR(IF($A17=I$13,1000000,SQRT(SUMXMY2($C5:$F5,INDEX($C$2:$F$11,I$13,0)))),1000000)</f>
        <v>29.3428015022424</v>
      </c>
      <c r="J17" s="7">
        <f>IFERROR(IF($A17=J$13,1000000,SQRT(SUMXMY2($C5:$F5,INDEX($C$2:$F$11,J$13,0)))),1000000)</f>
        <v>86.5678924313166</v>
      </c>
      <c r="K17" s="7">
        <f>IFERROR(IF($A17=K$13,1000000,SQRT(SUMXMY2($C5:$F5,INDEX($C$2:$F$11,K$13,0)))),1000000)</f>
        <v>42.2255846614348</v>
      </c>
      <c r="L17" s="9">
        <f t="shared" si="0"/>
        <v>1</v>
      </c>
    </row>
    <row r="18" spans="1:12">
      <c r="A18" s="6">
        <v>5</v>
      </c>
      <c r="B18" s="7">
        <f>IFERROR(IF($A18=B$13,1000000,SQRT(SUMXMY2($C6:$F6,INDEX($C$2:$F$11,B$13,0)))),1000000)</f>
        <v>57.7754273026172</v>
      </c>
      <c r="C18" s="7">
        <f>IFERROR(IF($A18=C$13,1000000,SQRT(SUMXMY2($C6:$F6,INDEX($C$2:$F$11,C$13,0)))),1000000)</f>
        <v>48.8978527135906</v>
      </c>
      <c r="D18" s="7">
        <f>IFERROR(IF($A18=D$13,1000000,SQRT(SUMXMY2($C6:$F6,INDEX($C$2:$F$11,D$13,0)))),1000000)</f>
        <v>18.9472953214964</v>
      </c>
      <c r="E18" s="7">
        <f>IFERROR(IF($A18=E$13,1000000,SQRT(SUMXMY2($C6:$F6,INDEX($C$2:$F$11,E$13,0)))),1000000)</f>
        <v>71.7286553617172</v>
      </c>
      <c r="F18" s="7">
        <f>IFERROR(IF($A18=F$13,1000000,SQRT(SUMXMY2($C6:$F6,INDEX($C$2:$F$11,F$13,0)))),1000000)</f>
        <v>1000000</v>
      </c>
      <c r="G18" s="7">
        <f>IFERROR(IF($A18=G$13,1000000,SQRT(SUMXMY2($C6:$F6,INDEX($C$2:$F$11,G$13,0)))),1000000)</f>
        <v>65.5515064662895</v>
      </c>
      <c r="H18" s="7">
        <f>IFERROR(IF($A18=H$13,1000000,SQRT(SUMXMY2($C6:$F6,INDEX($C$2:$F$11,H$13,0)))),1000000)</f>
        <v>202.963050824528</v>
      </c>
      <c r="I18" s="7">
        <f>IFERROR(IF($A18=I$13,1000000,SQRT(SUMXMY2($C6:$F6,INDEX($C$2:$F$11,I$13,0)))),1000000)</f>
        <v>47.0106370941726</v>
      </c>
      <c r="J18" s="7">
        <f>IFERROR(IF($A18=J$13,1000000,SQRT(SUMXMY2($C6:$F6,INDEX($C$2:$F$11,J$13,0)))),1000000)</f>
        <v>28.9309522829789</v>
      </c>
      <c r="K18" s="7">
        <f>IFERROR(IF($A18=K$13,1000000,SQRT(SUMXMY2($C6:$F6,INDEX($C$2:$F$11,K$13,0)))),1000000)</f>
        <v>106.047159320747</v>
      </c>
      <c r="L18" s="9" t="e">
        <f t="shared" si="0"/>
        <v>#N/A</v>
      </c>
    </row>
    <row r="19" spans="1:12">
      <c r="A19" s="6">
        <v>6</v>
      </c>
      <c r="B19" s="7">
        <f>IFERROR(IF($A19=B$13,1000000,SQRT(SUMXMY2($C7:$F7,INDEX($C$2:$F$11,B$13,0)))),1000000)</f>
        <v>39.5347948015416</v>
      </c>
      <c r="C19" s="7">
        <f>IFERROR(IF($A19=C$13,1000000,SQRT(SUMXMY2($C7:$F7,INDEX($C$2:$F$11,C$13,0)))),1000000)</f>
        <v>65.3146231712317</v>
      </c>
      <c r="D19" s="7">
        <f>IFERROR(IF($A19=D$13,1000000,SQRT(SUMXMY2($C7:$F7,INDEX($C$2:$F$11,D$13,0)))),1000000)</f>
        <v>56.7626637852735</v>
      </c>
      <c r="E19" s="7">
        <f>IFERROR(IF($A19=E$13,1000000,SQRT(SUMXMY2($C7:$F7,INDEX($C$2:$F$11,E$13,0)))),1000000)</f>
        <v>35.2420203734122</v>
      </c>
      <c r="F19" s="7">
        <f>IFERROR(IF($A19=F$13,1000000,SQRT(SUMXMY2($C7:$F7,INDEX($C$2:$F$11,F$13,0)))),1000000)</f>
        <v>65.5515064662895</v>
      </c>
      <c r="G19" s="7">
        <f>IFERROR(IF($A19=G$13,1000000,SQRT(SUMXMY2($C7:$F7,INDEX($C$2:$F$11,G$13,0)))),1000000)</f>
        <v>1000000</v>
      </c>
      <c r="H19" s="7">
        <f>IFERROR(IF($A19=H$13,1000000,SQRT(SUMXMY2($C7:$F7,INDEX($C$2:$F$11,H$13,0)))),1000000)</f>
        <v>138.416039532996</v>
      </c>
      <c r="I19" s="7">
        <f>IFERROR(IF($A19=I$13,1000000,SQRT(SUMXMY2($C7:$F7,INDEX($C$2:$F$11,I$13,0)))),1000000)</f>
        <v>36.5102725270574</v>
      </c>
      <c r="J19" s="7">
        <f>IFERROR(IF($A19=J$13,1000000,SQRT(SUMXMY2($C7:$F7,INDEX($C$2:$F$11,J$13,0)))),1000000)</f>
        <v>89.7217922246318</v>
      </c>
      <c r="K19" s="7">
        <f>IFERROR(IF($A19=K$13,1000000,SQRT(SUMXMY2($C7:$F7,INDEX($C$2:$F$11,K$13,0)))),1000000)</f>
        <v>45.8366665454634</v>
      </c>
      <c r="L19" s="9" t="e">
        <f t="shared" si="0"/>
        <v>#N/A</v>
      </c>
    </row>
    <row r="20" spans="1:12">
      <c r="A20" s="6">
        <v>7</v>
      </c>
      <c r="B20" s="7">
        <f>IFERROR(IF($A20=B$13,1000000,SQRT(SUMXMY2($C8:$F8,INDEX($C$2:$F$11,B$13,0)))),1000000)</f>
        <v>160.872620417522</v>
      </c>
      <c r="C20" s="7">
        <f>IFERROR(IF($A20=C$13,1000000,SQRT(SUMXMY2($C8:$F8,INDEX($C$2:$F$11,C$13,0)))),1000000)</f>
        <v>193.832401832098</v>
      </c>
      <c r="D20" s="7">
        <f>IFERROR(IF($A20=D$13,1000000,SQRT(SUMXMY2($C8:$F8,INDEX($C$2:$F$11,D$13,0)))),1000000)</f>
        <v>192.496753219373</v>
      </c>
      <c r="E20" s="7">
        <f>IFERROR(IF($A20=E$13,1000000,SQRT(SUMXMY2($C8:$F8,INDEX($C$2:$F$11,E$13,0)))),1000000)</f>
        <v>144.751511218363</v>
      </c>
      <c r="F20" s="7">
        <f>IFERROR(IF($A20=F$13,1000000,SQRT(SUMXMY2($C8:$F8,INDEX($C$2:$F$11,F$13,0)))),1000000)</f>
        <v>202.963050824528</v>
      </c>
      <c r="G20" s="7">
        <f>IFERROR(IF($A20=G$13,1000000,SQRT(SUMXMY2($C8:$F8,INDEX($C$2:$F$11,G$13,0)))),1000000)</f>
        <v>138.416039532996</v>
      </c>
      <c r="H20" s="7">
        <f>IFERROR(IF($A20=H$13,1000000,SQRT(SUMXMY2($C8:$F8,INDEX($C$2:$F$11,H$13,0)))),1000000)</f>
        <v>1000000</v>
      </c>
      <c r="I20" s="7">
        <f>IFERROR(IF($A20=I$13,1000000,SQRT(SUMXMY2($C8:$F8,INDEX($C$2:$F$11,I$13,0)))),1000000)</f>
        <v>163.321768298044</v>
      </c>
      <c r="J20" s="7">
        <f>IFERROR(IF($A20=J$13,1000000,SQRT(SUMXMY2($C8:$F8,INDEX($C$2:$F$11,J$13,0)))),1000000)</f>
        <v>225.554871372799</v>
      </c>
      <c r="K20" s="7">
        <f>IFERROR(IF($A20=K$13,1000000,SQRT(SUMXMY2($C8:$F8,INDEX($C$2:$F$11,K$13,0)))),1000000)</f>
        <v>106.037729134493</v>
      </c>
      <c r="L20" s="9" t="e">
        <f t="shared" si="0"/>
        <v>#N/A</v>
      </c>
    </row>
    <row r="21" spans="1:12">
      <c r="A21" s="6">
        <v>8</v>
      </c>
      <c r="B21" s="7">
        <f>IFERROR(IF($A21=B$13,1000000,SQRT(SUMXMY2($C9:$F9,INDEX($C$2:$F$11,B$13,0)))),1000000)</f>
        <v>22.0454076850486</v>
      </c>
      <c r="C21" s="7">
        <f>IFERROR(IF($A21=C$13,1000000,SQRT(SUMXMY2($C9:$F9,INDEX($C$2:$F$11,C$13,0)))),1000000)</f>
        <v>47.8643917750973</v>
      </c>
      <c r="D21" s="7">
        <f>IFERROR(IF($A21=D$13,1000000,SQRT(SUMXMY2($C9:$F9,INDEX($C$2:$F$11,D$13,0)))),1000000)</f>
        <v>31.8904374382039</v>
      </c>
      <c r="E21" s="7">
        <f>IFERROR(IF($A21=E$13,1000000,SQRT(SUMXMY2($C9:$F9,INDEX($C$2:$F$11,E$13,0)))),1000000)</f>
        <v>29.3428015022424</v>
      </c>
      <c r="F21" s="7">
        <f>IFERROR(IF($A21=F$13,1000000,SQRT(SUMXMY2($C9:$F9,INDEX($C$2:$F$11,F$13,0)))),1000000)</f>
        <v>47.0106370941726</v>
      </c>
      <c r="G21" s="7">
        <f>IFERROR(IF($A21=G$13,1000000,SQRT(SUMXMY2($C9:$F9,INDEX($C$2:$F$11,G$13,0)))),1000000)</f>
        <v>36.5102725270574</v>
      </c>
      <c r="H21" s="7">
        <f>IFERROR(IF($A21=H$13,1000000,SQRT(SUMXMY2($C9:$F9,INDEX($C$2:$F$11,H$13,0)))),1000000)</f>
        <v>163.321768298044</v>
      </c>
      <c r="I21" s="7">
        <f>IFERROR(IF($A21=I$13,1000000,SQRT(SUMXMY2($C9:$F9,INDEX($C$2:$F$11,I$13,0)))),1000000)</f>
        <v>1000000</v>
      </c>
      <c r="J21" s="7">
        <f>IFERROR(IF($A21=J$13,1000000,SQRT(SUMXMY2($C9:$F9,INDEX($C$2:$F$11,J$13,0)))),1000000)</f>
        <v>63.5845893279181</v>
      </c>
      <c r="K21" s="7">
        <f>IFERROR(IF($A21=K$13,1000000,SQRT(SUMXMY2($C9:$F9,INDEX($C$2:$F$11,K$13,0)))),1000000)</f>
        <v>66.1059755241536</v>
      </c>
      <c r="L21" s="9" t="e">
        <f t="shared" si="0"/>
        <v>#N/A</v>
      </c>
    </row>
    <row r="22" spans="1:12">
      <c r="A22" s="6">
        <v>9</v>
      </c>
      <c r="B22" s="7">
        <f>IFERROR(IF($A22=B$13,1000000,SQRT(SUMXMY2($C10:$F10,INDEX($C$2:$F$11,B$13,0)))),1000000)</f>
        <v>70.4769465853906</v>
      </c>
      <c r="C22" s="7">
        <f>IFERROR(IF($A22=C$13,1000000,SQRT(SUMXMY2($C10:$F10,INDEX($C$2:$F$11,C$13,0)))),1000000)</f>
        <v>52.4785670536077</v>
      </c>
      <c r="D22" s="7">
        <f>IFERROR(IF($A22=D$13,1000000,SQRT(SUMXMY2($C10:$F10,INDEX($C$2:$F$11,D$13,0)))),1000000)</f>
        <v>33.7934904974316</v>
      </c>
      <c r="E22" s="7">
        <f>IFERROR(IF($A22=E$13,1000000,SQRT(SUMXMY2($C10:$F10,INDEX($C$2:$F$11,E$13,0)))),1000000)</f>
        <v>86.5678924313166</v>
      </c>
      <c r="F22" s="7">
        <f>IFERROR(IF($A22=F$13,1000000,SQRT(SUMXMY2($C10:$F10,INDEX($C$2:$F$11,F$13,0)))),1000000)</f>
        <v>28.9309522829789</v>
      </c>
      <c r="G22" s="7">
        <f>IFERROR(IF($A22=G$13,1000000,SQRT(SUMXMY2($C10:$F10,INDEX($C$2:$F$11,G$13,0)))),1000000)</f>
        <v>89.7217922246318</v>
      </c>
      <c r="H22" s="7">
        <f>IFERROR(IF($A22=H$13,1000000,SQRT(SUMXMY2($C10:$F10,INDEX($C$2:$F$11,H$13,0)))),1000000)</f>
        <v>225.554871372799</v>
      </c>
      <c r="I22" s="7">
        <f>IFERROR(IF($A22=I$13,1000000,SQRT(SUMXMY2($C10:$F10,INDEX($C$2:$F$11,I$13,0)))),1000000)</f>
        <v>63.5845893279181</v>
      </c>
      <c r="J22" s="7">
        <f>IFERROR(IF($A22=J$13,1000000,SQRT(SUMXMY2($C10:$F10,INDEX($C$2:$F$11,J$13,0)))),1000000)</f>
        <v>1000000</v>
      </c>
      <c r="K22" s="7">
        <f>IFERROR(IF($A22=K$13,1000000,SQRT(SUMXMY2($C10:$F10,INDEX($C$2:$F$11,K$13,0)))),1000000)</f>
        <v>125.111949868907</v>
      </c>
      <c r="L22" s="9" t="e">
        <f t="shared" si="0"/>
        <v>#N/A</v>
      </c>
    </row>
    <row r="23" spans="1:12">
      <c r="A23" s="6">
        <v>10</v>
      </c>
      <c r="B23" s="7">
        <f>IFERROR(IF($A23=B$13,1000000,SQRT(SUMXMY2($C11:$F11,INDEX($C$2:$F$11,B$13,0)))),1000000)</f>
        <v>57.1664237118258</v>
      </c>
      <c r="C23" s="7">
        <f>IFERROR(IF($A23=C$13,1000000,SQRT(SUMXMY2($C11:$F11,INDEX($C$2:$F$11,C$13,0)))),1000000)</f>
        <v>89.0224690738243</v>
      </c>
      <c r="D23" s="7">
        <f>IFERROR(IF($A23=D$13,1000000,SQRT(SUMXMY2($C11:$F11,INDEX($C$2:$F$11,D$13,0)))),1000000)</f>
        <v>92.82779756086</v>
      </c>
      <c r="E23" s="7">
        <f>IFERROR(IF($A23=E$13,1000000,SQRT(SUMXMY2($C11:$F11,INDEX($C$2:$F$11,E$13,0)))),1000000)</f>
        <v>42.2255846614348</v>
      </c>
      <c r="F23" s="7">
        <f>IFERROR(IF($A23=F$13,1000000,SQRT(SUMXMY2($C11:$F11,INDEX($C$2:$F$11,F$13,0)))),1000000)</f>
        <v>106.047159320747</v>
      </c>
      <c r="G23" s="7">
        <f>IFERROR(IF($A23=G$13,1000000,SQRT(SUMXMY2($C11:$F11,INDEX($C$2:$F$11,G$13,0)))),1000000)</f>
        <v>45.8366665454634</v>
      </c>
      <c r="H23" s="7">
        <f>IFERROR(IF($A23=H$13,1000000,SQRT(SUMXMY2($C11:$F11,INDEX($C$2:$F$11,H$13,0)))),1000000)</f>
        <v>106.037729134493</v>
      </c>
      <c r="I23" s="7">
        <f>IFERROR(IF($A23=I$13,1000000,SQRT(SUMXMY2($C11:$F11,INDEX($C$2:$F$11,I$13,0)))),1000000)</f>
        <v>66.1059755241536</v>
      </c>
      <c r="J23" s="7">
        <f>IFERROR(IF($A23=J$13,1000000,SQRT(SUMXMY2($C11:$F11,INDEX($C$2:$F$11,J$13,0)))),1000000)</f>
        <v>125.111949868907</v>
      </c>
      <c r="K23" s="7">
        <f>IFERROR(IF($A23=K$13,1000000,SQRT(SUMXMY2($C11:$F11,INDEX($C$2:$F$11,K$13,0)))),1000000)</f>
        <v>1000000</v>
      </c>
      <c r="L23" s="9" t="e">
        <f t="shared" si="0"/>
        <v>#N/A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workbookViewId="0">
      <selection activeCell="F35" sqref="F35"/>
    </sheetView>
  </sheetViews>
  <sheetFormatPr defaultColWidth="9" defaultRowHeight="15"/>
  <cols>
    <col min="1" max="1" width="9" style="1"/>
    <col min="2" max="4" width="12.8571428571429" style="1"/>
    <col min="5" max="5" width="9" style="1"/>
    <col min="6" max="11" width="12.8571428571429" style="1"/>
    <col min="12" max="16384" width="9" style="1"/>
  </cols>
  <sheetData>
    <row r="1" spans="1:1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8">
      <c r="A2" s="4">
        <v>1</v>
      </c>
      <c r="B2" s="1" t="s">
        <v>16</v>
      </c>
      <c r="C2" s="1">
        <v>10</v>
      </c>
      <c r="D2" s="1">
        <v>185</v>
      </c>
      <c r="E2" s="1">
        <v>50.5</v>
      </c>
      <c r="F2" s="1">
        <v>19</v>
      </c>
      <c r="G2" s="1">
        <v>11</v>
      </c>
      <c r="H2" s="10">
        <v>1</v>
      </c>
    </row>
    <row r="3" spans="1:8">
      <c r="A3" s="4">
        <v>2</v>
      </c>
      <c r="B3" s="1" t="s">
        <v>24</v>
      </c>
      <c r="C3" s="1">
        <v>9</v>
      </c>
      <c r="D3" s="1">
        <v>222</v>
      </c>
      <c r="E3" s="1">
        <v>39</v>
      </c>
      <c r="F3" s="1">
        <v>42</v>
      </c>
      <c r="G3" s="1">
        <v>12</v>
      </c>
      <c r="H3" s="10">
        <v>12</v>
      </c>
    </row>
    <row r="4" spans="1:8">
      <c r="A4" s="4">
        <v>3</v>
      </c>
      <c r="B4" s="1" t="s">
        <v>21</v>
      </c>
      <c r="C4" s="1">
        <v>6</v>
      </c>
      <c r="D4" s="1">
        <v>226</v>
      </c>
      <c r="E4" s="1">
        <v>72</v>
      </c>
      <c r="F4" s="1">
        <v>30</v>
      </c>
      <c r="G4" s="1">
        <v>13</v>
      </c>
      <c r="H4" s="10">
        <v>13</v>
      </c>
    </row>
    <row r="5" spans="1:8">
      <c r="A5" s="4">
        <v>4</v>
      </c>
      <c r="B5" s="1" t="s">
        <v>17</v>
      </c>
      <c r="G5" s="1">
        <v>14</v>
      </c>
      <c r="H5" s="10">
        <v>1</v>
      </c>
    </row>
    <row r="6" spans="1:8">
      <c r="A6" s="4">
        <v>5</v>
      </c>
      <c r="B6" s="1" t="s">
        <v>22</v>
      </c>
      <c r="C6" s="1">
        <v>7</v>
      </c>
      <c r="D6" s="1">
        <v>235</v>
      </c>
      <c r="E6" s="1">
        <v>86</v>
      </c>
      <c r="F6" s="1">
        <v>39</v>
      </c>
      <c r="G6" s="1">
        <v>15</v>
      </c>
      <c r="H6" s="10">
        <v>15</v>
      </c>
    </row>
    <row r="7" spans="1:8">
      <c r="A7" s="4">
        <v>6</v>
      </c>
      <c r="B7" s="1" t="s">
        <v>19</v>
      </c>
      <c r="C7" s="1">
        <v>5</v>
      </c>
      <c r="D7" s="1">
        <v>170</v>
      </c>
      <c r="E7" s="1">
        <v>78</v>
      </c>
      <c r="F7" s="1">
        <v>37</v>
      </c>
      <c r="G7" s="1">
        <v>16</v>
      </c>
      <c r="H7" s="10">
        <v>16</v>
      </c>
    </row>
    <row r="8" spans="1:8">
      <c r="A8" s="4">
        <v>7</v>
      </c>
      <c r="B8" s="1" t="s">
        <v>25</v>
      </c>
      <c r="C8" s="1">
        <v>0</v>
      </c>
      <c r="D8" s="1">
        <v>35</v>
      </c>
      <c r="E8" s="1">
        <v>75</v>
      </c>
      <c r="F8" s="1">
        <v>7</v>
      </c>
      <c r="G8" s="1">
        <v>17</v>
      </c>
      <c r="H8" s="10">
        <v>17</v>
      </c>
    </row>
    <row r="9" spans="1:8">
      <c r="A9" s="4">
        <v>8</v>
      </c>
      <c r="B9" s="1" t="s">
        <v>18</v>
      </c>
      <c r="C9" s="1">
        <v>4</v>
      </c>
      <c r="D9" s="1">
        <v>198</v>
      </c>
      <c r="E9" s="1">
        <v>70</v>
      </c>
      <c r="F9" s="1">
        <v>15</v>
      </c>
      <c r="G9" s="1">
        <v>18</v>
      </c>
      <c r="H9" s="10">
        <v>18</v>
      </c>
    </row>
    <row r="10" spans="1:8">
      <c r="A10" s="4">
        <v>9</v>
      </c>
      <c r="B10" s="1" t="s">
        <v>23</v>
      </c>
      <c r="C10" s="1">
        <v>13</v>
      </c>
      <c r="D10" s="1">
        <v>259</v>
      </c>
      <c r="E10" s="1">
        <v>74</v>
      </c>
      <c r="F10" s="1">
        <v>30</v>
      </c>
      <c r="G10" s="1">
        <v>19</v>
      </c>
      <c r="H10" s="10">
        <v>19</v>
      </c>
    </row>
    <row r="11" spans="1:8">
      <c r="A11" s="5">
        <v>10</v>
      </c>
      <c r="B11" s="1" t="s">
        <v>20</v>
      </c>
      <c r="C11" s="1">
        <v>15</v>
      </c>
      <c r="D11" s="1">
        <v>136</v>
      </c>
      <c r="E11" s="1">
        <v>52</v>
      </c>
      <c r="F11" s="1">
        <v>24</v>
      </c>
      <c r="G11" s="1">
        <v>20</v>
      </c>
      <c r="H11" s="10">
        <v>20</v>
      </c>
    </row>
    <row r="13" spans="2:11"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</row>
    <row r="14" spans="1:17">
      <c r="A14" s="6">
        <v>1</v>
      </c>
      <c r="B14" s="7">
        <f>IFERROR(IF($A14=B$13,1000000,SQRT(SUMXMY2($C2:$F2,INDEX($C$2:$F$11,B$13,0)))),1000000)</f>
        <v>1000000</v>
      </c>
      <c r="C14" s="7">
        <f>IFERROR(IF($A14=C$13,1000000,SQRT(SUMXMY2($C2:$F2,INDEX($C$2:$F$11,C$13,0)))),1000000)</f>
        <v>45.0693909432999</v>
      </c>
      <c r="D14" s="7">
        <f>IFERROR(IF($A14=D$13,1000000,SQRT(SUMXMY2($C2:$F2,INDEX($C$2:$F$11,D$13,0)))),1000000)</f>
        <v>47.7519633104232</v>
      </c>
      <c r="E14" s="7">
        <f>IFERROR(IF($A14=E$13,1000000,SQRT(SUMXMY2($C2:$F2,INDEX($C$2:$F$11,E$13,0)))),1000000)</f>
        <v>1000000</v>
      </c>
      <c r="F14" s="7">
        <f>IFERROR(IF($A14=F$13,1000000,SQRT(SUMXMY2($C2:$F2,INDEX($C$2:$F$11,F$13,0)))),1000000)</f>
        <v>64.5697297500926</v>
      </c>
      <c r="G14" s="7">
        <f>IFERROR(IF($A14=G$13,1000000,SQRT(SUMXMY2($C2:$F2,INDEX($C$2:$F$11,G$13,0)))),1000000)</f>
        <v>36.4725924496738</v>
      </c>
      <c r="H14" s="7">
        <f>IFERROR(IF($A14=H$13,1000000,SQRT(SUMXMY2($C2:$F2,INDEX($C$2:$F$11,H$13,0)))),1000000)</f>
        <v>152.788252166192</v>
      </c>
      <c r="I14" s="7">
        <f>IFERROR(IF($A14=I$13,1000000,SQRT(SUMXMY2($C2:$F2,INDEX($C$2:$F$11,I$13,0)))),1000000)</f>
        <v>24.5203996704785</v>
      </c>
      <c r="J14" s="7">
        <f>IFERROR(IF($A14=J$13,1000000,SQRT(SUMXMY2($C2:$F2,INDEX($C$2:$F$11,J$13,0)))),1000000)</f>
        <v>78.47451815717</v>
      </c>
      <c r="K14" s="7">
        <f>IFERROR(IF($A14=K$13,1000000,SQRT(SUMXMY2($C2:$F2,INDEX($C$2:$F$11,K$13,0)))),1000000)</f>
        <v>49.5302937604856</v>
      </c>
      <c r="L14" s="9" t="e">
        <f t="shared" ref="L14:L23" si="0">MATCH(MIN($B$14:$K$23),B14:K14,0)</f>
        <v>#N/A</v>
      </c>
      <c r="N14" s="9">
        <f t="shared" ref="N14:Q14" si="1">AVERAGE(C2,C5)</f>
        <v>10</v>
      </c>
      <c r="O14" s="9">
        <f t="shared" si="1"/>
        <v>185</v>
      </c>
      <c r="P14" s="9">
        <f t="shared" si="1"/>
        <v>50.5</v>
      </c>
      <c r="Q14" s="9">
        <f t="shared" si="1"/>
        <v>19</v>
      </c>
    </row>
    <row r="15" spans="1:17">
      <c r="A15" s="6">
        <v>2</v>
      </c>
      <c r="B15" s="7">
        <f>IFERROR(IF($A15=B$13,1000000,SQRT(SUMXMY2($C3:$F3,INDEX($C$2:$F$11,B$13,0)))),1000000)</f>
        <v>45.0693909432999</v>
      </c>
      <c r="C15" s="7">
        <f>IFERROR(IF($A15=C$13,1000000,SQRT(SUMXMY2($C3:$F3,INDEX($C$2:$F$11,C$13,0)))),1000000)</f>
        <v>1000000</v>
      </c>
      <c r="D15" s="7">
        <f>IFERROR(IF($A15=D$13,1000000,SQRT(SUMXMY2($C3:$F3,INDEX($C$2:$F$11,D$13,0)))),1000000)</f>
        <v>35.4682957019364</v>
      </c>
      <c r="E15" s="7">
        <f>IFERROR(IF($A15=E$13,1000000,SQRT(SUMXMY2($C3:$F3,INDEX($C$2:$F$11,E$13,0)))),1000000)</f>
        <v>1000000</v>
      </c>
      <c r="F15" s="7">
        <f>IFERROR(IF($A15=F$13,1000000,SQRT(SUMXMY2($C3:$F3,INDEX($C$2:$F$11,F$13,0)))),1000000)</f>
        <v>48.8978527135906</v>
      </c>
      <c r="G15" s="7">
        <f>IFERROR(IF($A15=G$13,1000000,SQRT(SUMXMY2($C3:$F3,INDEX($C$2:$F$11,G$13,0)))),1000000)</f>
        <v>65.3146231712317</v>
      </c>
      <c r="H15" s="7">
        <f>IFERROR(IF($A15=H$13,1000000,SQRT(SUMXMY2($C3:$F3,INDEX($C$2:$F$11,H$13,0)))),1000000)</f>
        <v>193.832401832098</v>
      </c>
      <c r="I15" s="7">
        <f>IFERROR(IF($A15=I$13,1000000,SQRT(SUMXMY2($C3:$F3,INDEX($C$2:$F$11,I$13,0)))),1000000)</f>
        <v>47.8643917750973</v>
      </c>
      <c r="J15" s="7">
        <f>IFERROR(IF($A15=J$13,1000000,SQRT(SUMXMY2($C3:$F3,INDEX($C$2:$F$11,J$13,0)))),1000000)</f>
        <v>52.4785670536077</v>
      </c>
      <c r="K15" s="7">
        <f>IFERROR(IF($A15=K$13,1000000,SQRT(SUMXMY2($C3:$F3,INDEX($C$2:$F$11,K$13,0)))),1000000)</f>
        <v>89.0224690738243</v>
      </c>
      <c r="L15" s="9" t="e">
        <f t="shared" si="0"/>
        <v>#N/A</v>
      </c>
      <c r="N15" s="1">
        <v>10</v>
      </c>
      <c r="O15" s="1">
        <v>185</v>
      </c>
      <c r="P15" s="1">
        <v>50.5</v>
      </c>
      <c r="Q15" s="1">
        <v>19</v>
      </c>
    </row>
    <row r="16" spans="1:12">
      <c r="A16" s="6">
        <v>3</v>
      </c>
      <c r="B16" s="7">
        <f>IFERROR(IF($A16=B$13,1000000,SQRT(SUMXMY2($C4:$F4,INDEX($C$2:$F$11,B$13,0)))),1000000)</f>
        <v>47.7519633104232</v>
      </c>
      <c r="C16" s="7">
        <f>IFERROR(IF($A16=C$13,1000000,SQRT(SUMXMY2($C4:$F4,INDEX($C$2:$F$11,C$13,0)))),1000000)</f>
        <v>35.4682957019364</v>
      </c>
      <c r="D16" s="7">
        <f>IFERROR(IF($A16=D$13,1000000,SQRT(SUMXMY2($C4:$F4,INDEX($C$2:$F$11,D$13,0)))),1000000)</f>
        <v>1000000</v>
      </c>
      <c r="E16" s="7">
        <f>IFERROR(IF($A16=E$13,1000000,SQRT(SUMXMY2($C4:$F4,INDEX($C$2:$F$11,E$13,0)))),1000000)</f>
        <v>1000000</v>
      </c>
      <c r="F16" s="7">
        <f>IFERROR(IF($A16=F$13,1000000,SQRT(SUMXMY2($C4:$F4,INDEX($C$2:$F$11,F$13,0)))),1000000)</f>
        <v>18.9472953214964</v>
      </c>
      <c r="G16" s="7">
        <f>IFERROR(IF($A16=G$13,1000000,SQRT(SUMXMY2($C4:$F4,INDEX($C$2:$F$11,G$13,0)))),1000000)</f>
        <v>56.7626637852735</v>
      </c>
      <c r="H16" s="7">
        <f>IFERROR(IF($A16=H$13,1000000,SQRT(SUMXMY2($C4:$F4,INDEX($C$2:$F$11,H$13,0)))),1000000)</f>
        <v>192.496753219373</v>
      </c>
      <c r="I16" s="7">
        <f>IFERROR(IF($A16=I$13,1000000,SQRT(SUMXMY2($C4:$F4,INDEX($C$2:$F$11,I$13,0)))),1000000)</f>
        <v>31.8904374382039</v>
      </c>
      <c r="J16" s="7">
        <f>IFERROR(IF($A16=J$13,1000000,SQRT(SUMXMY2($C4:$F4,INDEX($C$2:$F$11,J$13,0)))),1000000)</f>
        <v>33.7934904974316</v>
      </c>
      <c r="K16" s="7">
        <f>IFERROR(IF($A16=K$13,1000000,SQRT(SUMXMY2($C4:$F4,INDEX($C$2:$F$11,K$13,0)))),1000000)</f>
        <v>92.82779756086</v>
      </c>
      <c r="L16" s="9">
        <f t="shared" si="0"/>
        <v>5</v>
      </c>
    </row>
    <row r="17" spans="1:12">
      <c r="A17" s="6">
        <v>4</v>
      </c>
      <c r="B17" s="7">
        <f>IFERROR(IF($A17=B$13,1000000,SQRT(SUMXMY2($C5:$F5,INDEX($C$2:$F$11,B$13,0)))),1000000)</f>
        <v>1000000</v>
      </c>
      <c r="C17" s="7">
        <f>IFERROR(IF($A17=C$13,1000000,SQRT(SUMXMY2($C5:$F5,INDEX($C$2:$F$11,C$13,0)))),1000000)</f>
        <v>1000000</v>
      </c>
      <c r="D17" s="7">
        <f>IFERROR(IF($A17=D$13,1000000,SQRT(SUMXMY2($C5:$F5,INDEX($C$2:$F$11,D$13,0)))),1000000)</f>
        <v>1000000</v>
      </c>
      <c r="E17" s="7">
        <f>IFERROR(IF($A17=E$13,1000000,SQRT(SUMXMY2($C5:$F5,INDEX($C$2:$F$11,E$13,0)))),1000000)</f>
        <v>1000000</v>
      </c>
      <c r="F17" s="7">
        <f>IFERROR(IF($A17=F$13,1000000,SQRT(SUMXMY2($C5:$F5,INDEX($C$2:$F$11,F$13,0)))),1000000)</f>
        <v>1000000</v>
      </c>
      <c r="G17" s="7">
        <f>IFERROR(IF($A17=G$13,1000000,SQRT(SUMXMY2($C5:$F5,INDEX($C$2:$F$11,G$13,0)))),1000000)</f>
        <v>1000000</v>
      </c>
      <c r="H17" s="7">
        <f>IFERROR(IF($A17=H$13,1000000,SQRT(SUMXMY2($C5:$F5,INDEX($C$2:$F$11,H$13,0)))),1000000)</f>
        <v>1000000</v>
      </c>
      <c r="I17" s="7">
        <f>IFERROR(IF($A17=I$13,1000000,SQRT(SUMXMY2($C5:$F5,INDEX($C$2:$F$11,I$13,0)))),1000000)</f>
        <v>1000000</v>
      </c>
      <c r="J17" s="7">
        <f>IFERROR(IF($A17=J$13,1000000,SQRT(SUMXMY2($C5:$F5,INDEX($C$2:$F$11,J$13,0)))),1000000)</f>
        <v>1000000</v>
      </c>
      <c r="K17" s="7">
        <f>IFERROR(IF($A17=K$13,1000000,SQRT(SUMXMY2($C5:$F5,INDEX($C$2:$F$11,K$13,0)))),1000000)</f>
        <v>1000000</v>
      </c>
      <c r="L17" s="9" t="e">
        <f t="shared" si="0"/>
        <v>#N/A</v>
      </c>
    </row>
    <row r="18" spans="1:12">
      <c r="A18" s="6">
        <v>5</v>
      </c>
      <c r="B18" s="7">
        <f>IFERROR(IF($A18=B$13,1000000,SQRT(SUMXMY2($C6:$F6,INDEX($C$2:$F$11,B$13,0)))),1000000)</f>
        <v>64.5697297500926</v>
      </c>
      <c r="C18" s="7">
        <f>IFERROR(IF($A18=C$13,1000000,SQRT(SUMXMY2($C6:$F6,INDEX($C$2:$F$11,C$13,0)))),1000000)</f>
        <v>48.8978527135906</v>
      </c>
      <c r="D18" s="7">
        <f>IFERROR(IF($A18=D$13,1000000,SQRT(SUMXMY2($C6:$F6,INDEX($C$2:$F$11,D$13,0)))),1000000)</f>
        <v>18.9472953214964</v>
      </c>
      <c r="E18" s="7">
        <f>IFERROR(IF($A18=E$13,1000000,SQRT(SUMXMY2($C6:$F6,INDEX($C$2:$F$11,E$13,0)))),1000000)</f>
        <v>1000000</v>
      </c>
      <c r="F18" s="7">
        <f>IFERROR(IF($A18=F$13,1000000,SQRT(SUMXMY2($C6:$F6,INDEX($C$2:$F$11,F$13,0)))),1000000)</f>
        <v>1000000</v>
      </c>
      <c r="G18" s="7">
        <f>IFERROR(IF($A18=G$13,1000000,SQRT(SUMXMY2($C6:$F6,INDEX($C$2:$F$11,G$13,0)))),1000000)</f>
        <v>65.5515064662895</v>
      </c>
      <c r="H18" s="7">
        <f>IFERROR(IF($A18=H$13,1000000,SQRT(SUMXMY2($C6:$F6,INDEX($C$2:$F$11,H$13,0)))),1000000)</f>
        <v>202.963050824528</v>
      </c>
      <c r="I18" s="7">
        <f>IFERROR(IF($A18=I$13,1000000,SQRT(SUMXMY2($C6:$F6,INDEX($C$2:$F$11,I$13,0)))),1000000)</f>
        <v>47.0106370941726</v>
      </c>
      <c r="J18" s="7">
        <f>IFERROR(IF($A18=J$13,1000000,SQRT(SUMXMY2($C6:$F6,INDEX($C$2:$F$11,J$13,0)))),1000000)</f>
        <v>28.9309522829789</v>
      </c>
      <c r="K18" s="7">
        <f>IFERROR(IF($A18=K$13,1000000,SQRT(SUMXMY2($C6:$F6,INDEX($C$2:$F$11,K$13,0)))),1000000)</f>
        <v>106.047159320747</v>
      </c>
      <c r="L18" s="9">
        <f t="shared" si="0"/>
        <v>3</v>
      </c>
    </row>
    <row r="19" spans="1:12">
      <c r="A19" s="6">
        <v>6</v>
      </c>
      <c r="B19" s="7">
        <f>IFERROR(IF($A19=B$13,1000000,SQRT(SUMXMY2($C7:$F7,INDEX($C$2:$F$11,B$13,0)))),1000000)</f>
        <v>36.4725924496738</v>
      </c>
      <c r="C19" s="7">
        <f>IFERROR(IF($A19=C$13,1000000,SQRT(SUMXMY2($C7:$F7,INDEX($C$2:$F$11,C$13,0)))),1000000)</f>
        <v>65.3146231712317</v>
      </c>
      <c r="D19" s="7">
        <f>IFERROR(IF($A19=D$13,1000000,SQRT(SUMXMY2($C7:$F7,INDEX($C$2:$F$11,D$13,0)))),1000000)</f>
        <v>56.7626637852735</v>
      </c>
      <c r="E19" s="7">
        <f>IFERROR(IF($A19=E$13,1000000,SQRT(SUMXMY2($C7:$F7,INDEX($C$2:$F$11,E$13,0)))),1000000)</f>
        <v>1000000</v>
      </c>
      <c r="F19" s="7">
        <f>IFERROR(IF($A19=F$13,1000000,SQRT(SUMXMY2($C7:$F7,INDEX($C$2:$F$11,F$13,0)))),1000000)</f>
        <v>65.5515064662895</v>
      </c>
      <c r="G19" s="7">
        <f>IFERROR(IF($A19=G$13,1000000,SQRT(SUMXMY2($C7:$F7,INDEX($C$2:$F$11,G$13,0)))),1000000)</f>
        <v>1000000</v>
      </c>
      <c r="H19" s="7">
        <f>IFERROR(IF($A19=H$13,1000000,SQRT(SUMXMY2($C7:$F7,INDEX($C$2:$F$11,H$13,0)))),1000000)</f>
        <v>138.416039532996</v>
      </c>
      <c r="I19" s="7">
        <f>IFERROR(IF($A19=I$13,1000000,SQRT(SUMXMY2($C7:$F7,INDEX($C$2:$F$11,I$13,0)))),1000000)</f>
        <v>36.5102725270574</v>
      </c>
      <c r="J19" s="7">
        <f>IFERROR(IF($A19=J$13,1000000,SQRT(SUMXMY2($C7:$F7,INDEX($C$2:$F$11,J$13,0)))),1000000)</f>
        <v>89.7217922246318</v>
      </c>
      <c r="K19" s="7">
        <f>IFERROR(IF($A19=K$13,1000000,SQRT(SUMXMY2($C7:$F7,INDEX($C$2:$F$11,K$13,0)))),1000000)</f>
        <v>45.8366665454634</v>
      </c>
      <c r="L19" s="9" t="e">
        <f t="shared" si="0"/>
        <v>#N/A</v>
      </c>
    </row>
    <row r="20" spans="1:12">
      <c r="A20" s="6">
        <v>7</v>
      </c>
      <c r="B20" s="7">
        <f>IFERROR(IF($A20=B$13,1000000,SQRT(SUMXMY2($C8:$F8,INDEX($C$2:$F$11,B$13,0)))),1000000)</f>
        <v>152.788252166192</v>
      </c>
      <c r="C20" s="7">
        <f>IFERROR(IF($A20=C$13,1000000,SQRT(SUMXMY2($C8:$F8,INDEX($C$2:$F$11,C$13,0)))),1000000)</f>
        <v>193.832401832098</v>
      </c>
      <c r="D20" s="7">
        <f>IFERROR(IF($A20=D$13,1000000,SQRT(SUMXMY2($C8:$F8,INDEX($C$2:$F$11,D$13,0)))),1000000)</f>
        <v>192.496753219373</v>
      </c>
      <c r="E20" s="7">
        <f>IFERROR(IF($A20=E$13,1000000,SQRT(SUMXMY2($C8:$F8,INDEX($C$2:$F$11,E$13,0)))),1000000)</f>
        <v>1000000</v>
      </c>
      <c r="F20" s="7">
        <f>IFERROR(IF($A20=F$13,1000000,SQRT(SUMXMY2($C8:$F8,INDEX($C$2:$F$11,F$13,0)))),1000000)</f>
        <v>202.963050824528</v>
      </c>
      <c r="G20" s="7">
        <f>IFERROR(IF($A20=G$13,1000000,SQRT(SUMXMY2($C8:$F8,INDEX($C$2:$F$11,G$13,0)))),1000000)</f>
        <v>138.416039532996</v>
      </c>
      <c r="H20" s="7">
        <f>IFERROR(IF($A20=H$13,1000000,SQRT(SUMXMY2($C8:$F8,INDEX($C$2:$F$11,H$13,0)))),1000000)</f>
        <v>1000000</v>
      </c>
      <c r="I20" s="7">
        <f>IFERROR(IF($A20=I$13,1000000,SQRT(SUMXMY2($C8:$F8,INDEX($C$2:$F$11,I$13,0)))),1000000)</f>
        <v>163.321768298044</v>
      </c>
      <c r="J20" s="7">
        <f>IFERROR(IF($A20=J$13,1000000,SQRT(SUMXMY2($C8:$F8,INDEX($C$2:$F$11,J$13,0)))),1000000)</f>
        <v>225.554871372799</v>
      </c>
      <c r="K20" s="7">
        <f>IFERROR(IF($A20=K$13,1000000,SQRT(SUMXMY2($C8:$F8,INDEX($C$2:$F$11,K$13,0)))),1000000)</f>
        <v>106.037729134493</v>
      </c>
      <c r="L20" s="9" t="e">
        <f t="shared" si="0"/>
        <v>#N/A</v>
      </c>
    </row>
    <row r="21" spans="1:12">
      <c r="A21" s="6">
        <v>8</v>
      </c>
      <c r="B21" s="7">
        <f>IFERROR(IF($A21=B$13,1000000,SQRT(SUMXMY2($C9:$F9,INDEX($C$2:$F$11,B$13,0)))),1000000)</f>
        <v>24.5203996704785</v>
      </c>
      <c r="C21" s="7">
        <f>IFERROR(IF($A21=C$13,1000000,SQRT(SUMXMY2($C9:$F9,INDEX($C$2:$F$11,C$13,0)))),1000000)</f>
        <v>47.8643917750973</v>
      </c>
      <c r="D21" s="7">
        <f>IFERROR(IF($A21=D$13,1000000,SQRT(SUMXMY2($C9:$F9,INDEX($C$2:$F$11,D$13,0)))),1000000)</f>
        <v>31.8904374382039</v>
      </c>
      <c r="E21" s="7">
        <f>IFERROR(IF($A21=E$13,1000000,SQRT(SUMXMY2($C9:$F9,INDEX($C$2:$F$11,E$13,0)))),1000000)</f>
        <v>1000000</v>
      </c>
      <c r="F21" s="7">
        <f>IFERROR(IF($A21=F$13,1000000,SQRT(SUMXMY2($C9:$F9,INDEX($C$2:$F$11,F$13,0)))),1000000)</f>
        <v>47.0106370941726</v>
      </c>
      <c r="G21" s="7">
        <f>IFERROR(IF($A21=G$13,1000000,SQRT(SUMXMY2($C9:$F9,INDEX($C$2:$F$11,G$13,0)))),1000000)</f>
        <v>36.5102725270574</v>
      </c>
      <c r="H21" s="7">
        <f>IFERROR(IF($A21=H$13,1000000,SQRT(SUMXMY2($C9:$F9,INDEX($C$2:$F$11,H$13,0)))),1000000)</f>
        <v>163.321768298044</v>
      </c>
      <c r="I21" s="7">
        <f>IFERROR(IF($A21=I$13,1000000,SQRT(SUMXMY2($C9:$F9,INDEX($C$2:$F$11,I$13,0)))),1000000)</f>
        <v>1000000</v>
      </c>
      <c r="J21" s="7">
        <f>IFERROR(IF($A21=J$13,1000000,SQRT(SUMXMY2($C9:$F9,INDEX($C$2:$F$11,J$13,0)))),1000000)</f>
        <v>63.5845893279181</v>
      </c>
      <c r="K21" s="7">
        <f>IFERROR(IF($A21=K$13,1000000,SQRT(SUMXMY2($C9:$F9,INDEX($C$2:$F$11,K$13,0)))),1000000)</f>
        <v>66.1059755241536</v>
      </c>
      <c r="L21" s="9" t="e">
        <f t="shared" si="0"/>
        <v>#N/A</v>
      </c>
    </row>
    <row r="22" spans="1:12">
      <c r="A22" s="6">
        <v>9</v>
      </c>
      <c r="B22" s="7">
        <f>IFERROR(IF($A22=B$13,1000000,SQRT(SUMXMY2($C10:$F10,INDEX($C$2:$F$11,B$13,0)))),1000000)</f>
        <v>78.47451815717</v>
      </c>
      <c r="C22" s="7">
        <f>IFERROR(IF($A22=C$13,1000000,SQRT(SUMXMY2($C10:$F10,INDEX($C$2:$F$11,C$13,0)))),1000000)</f>
        <v>52.4785670536077</v>
      </c>
      <c r="D22" s="7">
        <f>IFERROR(IF($A22=D$13,1000000,SQRT(SUMXMY2($C10:$F10,INDEX($C$2:$F$11,D$13,0)))),1000000)</f>
        <v>33.7934904974316</v>
      </c>
      <c r="E22" s="7">
        <f>IFERROR(IF($A22=E$13,1000000,SQRT(SUMXMY2($C10:$F10,INDEX($C$2:$F$11,E$13,0)))),1000000)</f>
        <v>1000000</v>
      </c>
      <c r="F22" s="7">
        <f>IFERROR(IF($A22=F$13,1000000,SQRT(SUMXMY2($C10:$F10,INDEX($C$2:$F$11,F$13,0)))),1000000)</f>
        <v>28.9309522829789</v>
      </c>
      <c r="G22" s="7">
        <f>IFERROR(IF($A22=G$13,1000000,SQRT(SUMXMY2($C10:$F10,INDEX($C$2:$F$11,G$13,0)))),1000000)</f>
        <v>89.7217922246318</v>
      </c>
      <c r="H22" s="7">
        <f>IFERROR(IF($A22=H$13,1000000,SQRT(SUMXMY2($C10:$F10,INDEX($C$2:$F$11,H$13,0)))),1000000)</f>
        <v>225.554871372799</v>
      </c>
      <c r="I22" s="7">
        <f>IFERROR(IF($A22=I$13,1000000,SQRT(SUMXMY2($C10:$F10,INDEX($C$2:$F$11,I$13,0)))),1000000)</f>
        <v>63.5845893279181</v>
      </c>
      <c r="J22" s="7">
        <f>IFERROR(IF($A22=J$13,1000000,SQRT(SUMXMY2($C10:$F10,INDEX($C$2:$F$11,J$13,0)))),1000000)</f>
        <v>1000000</v>
      </c>
      <c r="K22" s="7">
        <f>IFERROR(IF($A22=K$13,1000000,SQRT(SUMXMY2($C10:$F10,INDEX($C$2:$F$11,K$13,0)))),1000000)</f>
        <v>125.111949868907</v>
      </c>
      <c r="L22" s="9" t="e">
        <f t="shared" si="0"/>
        <v>#N/A</v>
      </c>
    </row>
    <row r="23" spans="1:12">
      <c r="A23" s="6">
        <v>10</v>
      </c>
      <c r="B23" s="7">
        <f>IFERROR(IF($A23=B$13,1000000,SQRT(SUMXMY2($C11:$F11,INDEX($C$2:$F$11,B$13,0)))),1000000)</f>
        <v>49.5302937604856</v>
      </c>
      <c r="C23" s="7">
        <f>IFERROR(IF($A23=C$13,1000000,SQRT(SUMXMY2($C11:$F11,INDEX($C$2:$F$11,C$13,0)))),1000000)</f>
        <v>89.0224690738243</v>
      </c>
      <c r="D23" s="7">
        <f>IFERROR(IF($A23=D$13,1000000,SQRT(SUMXMY2($C11:$F11,INDEX($C$2:$F$11,D$13,0)))),1000000)</f>
        <v>92.82779756086</v>
      </c>
      <c r="E23" s="7">
        <f>IFERROR(IF($A23=E$13,1000000,SQRT(SUMXMY2($C11:$F11,INDEX($C$2:$F$11,E$13,0)))),1000000)</f>
        <v>1000000</v>
      </c>
      <c r="F23" s="7">
        <f>IFERROR(IF($A23=F$13,1000000,SQRT(SUMXMY2($C11:$F11,INDEX($C$2:$F$11,F$13,0)))),1000000)</f>
        <v>106.047159320747</v>
      </c>
      <c r="G23" s="7">
        <f>IFERROR(IF($A23=G$13,1000000,SQRT(SUMXMY2($C11:$F11,INDEX($C$2:$F$11,G$13,0)))),1000000)</f>
        <v>45.8366665454634</v>
      </c>
      <c r="H23" s="7">
        <f>IFERROR(IF($A23=H$13,1000000,SQRT(SUMXMY2($C11:$F11,INDEX($C$2:$F$11,H$13,0)))),1000000)</f>
        <v>106.037729134493</v>
      </c>
      <c r="I23" s="7">
        <f>IFERROR(IF($A23=I$13,1000000,SQRT(SUMXMY2($C11:$F11,INDEX($C$2:$F$11,I$13,0)))),1000000)</f>
        <v>66.1059755241536</v>
      </c>
      <c r="J23" s="7">
        <f>IFERROR(IF($A23=J$13,1000000,SQRT(SUMXMY2($C11:$F11,INDEX($C$2:$F$11,J$13,0)))),1000000)</f>
        <v>125.111949868907</v>
      </c>
      <c r="K23" s="7">
        <f>IFERROR(IF($A23=K$13,1000000,SQRT(SUMXMY2($C11:$F11,INDEX($C$2:$F$11,K$13,0)))),1000000)</f>
        <v>1000000</v>
      </c>
      <c r="L23" s="9" t="e">
        <f t="shared" si="0"/>
        <v>#N/A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workbookViewId="0">
      <selection activeCell="G39" sqref="G39"/>
    </sheetView>
  </sheetViews>
  <sheetFormatPr defaultColWidth="9" defaultRowHeight="15"/>
  <cols>
    <col min="1" max="1" width="9" style="1"/>
    <col min="2" max="4" width="12.8571428571429" style="1"/>
    <col min="5" max="6" width="9" style="1"/>
    <col min="7" max="11" width="12.8571428571429" style="1"/>
    <col min="12" max="16384" width="9" style="1"/>
  </cols>
  <sheetData>
    <row r="1" spans="1:1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9">
      <c r="A2" s="4">
        <v>1</v>
      </c>
      <c r="B2" s="1" t="s">
        <v>16</v>
      </c>
      <c r="C2" s="1">
        <v>10</v>
      </c>
      <c r="D2" s="1">
        <v>185</v>
      </c>
      <c r="E2" s="1">
        <v>50.5</v>
      </c>
      <c r="F2" s="1">
        <v>19</v>
      </c>
      <c r="G2" s="1">
        <v>11</v>
      </c>
      <c r="H2" s="1">
        <v>1</v>
      </c>
      <c r="I2" s="10">
        <v>1</v>
      </c>
    </row>
    <row r="3" spans="1:9">
      <c r="A3" s="4">
        <v>2</v>
      </c>
      <c r="B3" s="1" t="s">
        <v>24</v>
      </c>
      <c r="C3" s="1">
        <v>9</v>
      </c>
      <c r="D3" s="1">
        <v>222</v>
      </c>
      <c r="E3" s="1">
        <v>39</v>
      </c>
      <c r="F3" s="1">
        <v>42</v>
      </c>
      <c r="G3" s="1">
        <v>12</v>
      </c>
      <c r="H3" s="1">
        <v>12</v>
      </c>
      <c r="I3" s="10">
        <v>12</v>
      </c>
    </row>
    <row r="4" spans="1:9">
      <c r="A4" s="4">
        <v>3</v>
      </c>
      <c r="B4" s="1" t="s">
        <v>21</v>
      </c>
      <c r="C4" s="1">
        <v>6.5</v>
      </c>
      <c r="D4" s="1">
        <v>230.5</v>
      </c>
      <c r="E4" s="1">
        <v>79</v>
      </c>
      <c r="F4" s="1">
        <v>34.5</v>
      </c>
      <c r="G4" s="1">
        <v>13</v>
      </c>
      <c r="H4" s="1">
        <v>13</v>
      </c>
      <c r="I4" s="10">
        <v>2</v>
      </c>
    </row>
    <row r="5" spans="1:9">
      <c r="A5" s="4">
        <v>4</v>
      </c>
      <c r="B5" s="1" t="s">
        <v>17</v>
      </c>
      <c r="G5" s="1">
        <v>14</v>
      </c>
      <c r="H5" s="1">
        <v>1</v>
      </c>
      <c r="I5" s="10">
        <v>1</v>
      </c>
    </row>
    <row r="6" spans="1:9">
      <c r="A6" s="4">
        <v>5</v>
      </c>
      <c r="B6" s="1" t="s">
        <v>22</v>
      </c>
      <c r="G6" s="1">
        <v>15</v>
      </c>
      <c r="H6" s="1">
        <v>15</v>
      </c>
      <c r="I6" s="10">
        <v>2</v>
      </c>
    </row>
    <row r="7" spans="1:9">
      <c r="A7" s="4">
        <v>6</v>
      </c>
      <c r="B7" s="1" t="s">
        <v>19</v>
      </c>
      <c r="C7" s="1">
        <v>5</v>
      </c>
      <c r="D7" s="1">
        <v>170</v>
      </c>
      <c r="E7" s="1">
        <v>78</v>
      </c>
      <c r="F7" s="1">
        <v>37</v>
      </c>
      <c r="G7" s="1">
        <v>16</v>
      </c>
      <c r="H7" s="1">
        <v>16</v>
      </c>
      <c r="I7" s="10">
        <v>16</v>
      </c>
    </row>
    <row r="8" spans="1:9">
      <c r="A8" s="4">
        <v>7</v>
      </c>
      <c r="B8" s="1" t="s">
        <v>25</v>
      </c>
      <c r="C8" s="1">
        <v>0</v>
      </c>
      <c r="D8" s="1">
        <v>35</v>
      </c>
      <c r="E8" s="1">
        <v>75</v>
      </c>
      <c r="F8" s="1">
        <v>7</v>
      </c>
      <c r="G8" s="1">
        <v>17</v>
      </c>
      <c r="H8" s="1">
        <v>17</v>
      </c>
      <c r="I8" s="10">
        <v>17</v>
      </c>
    </row>
    <row r="9" spans="1:9">
      <c r="A9" s="4">
        <v>8</v>
      </c>
      <c r="B9" s="1" t="s">
        <v>18</v>
      </c>
      <c r="C9" s="1">
        <v>4</v>
      </c>
      <c r="D9" s="1">
        <v>198</v>
      </c>
      <c r="E9" s="1">
        <v>70</v>
      </c>
      <c r="F9" s="1">
        <v>15</v>
      </c>
      <c r="G9" s="1">
        <v>18</v>
      </c>
      <c r="H9" s="1">
        <v>18</v>
      </c>
      <c r="I9" s="10">
        <v>18</v>
      </c>
    </row>
    <row r="10" spans="1:9">
      <c r="A10" s="4">
        <v>9</v>
      </c>
      <c r="B10" s="1" t="s">
        <v>23</v>
      </c>
      <c r="C10" s="1">
        <v>13</v>
      </c>
      <c r="D10" s="1">
        <v>259</v>
      </c>
      <c r="E10" s="1">
        <v>74</v>
      </c>
      <c r="F10" s="1">
        <v>30</v>
      </c>
      <c r="G10" s="1">
        <v>19</v>
      </c>
      <c r="H10" s="1">
        <v>19</v>
      </c>
      <c r="I10" s="10">
        <v>19</v>
      </c>
    </row>
    <row r="11" spans="1:9">
      <c r="A11" s="5">
        <v>10</v>
      </c>
      <c r="B11" s="1" t="s">
        <v>20</v>
      </c>
      <c r="C11" s="1">
        <v>15</v>
      </c>
      <c r="D11" s="1">
        <v>136</v>
      </c>
      <c r="E11" s="1">
        <v>52</v>
      </c>
      <c r="F11" s="1">
        <v>24</v>
      </c>
      <c r="G11" s="1">
        <v>20</v>
      </c>
      <c r="H11" s="1">
        <v>20</v>
      </c>
      <c r="I11" s="10">
        <v>20</v>
      </c>
    </row>
    <row r="13" spans="2:11"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</row>
    <row r="14" spans="1:17">
      <c r="A14" s="6">
        <v>1</v>
      </c>
      <c r="B14" s="7">
        <f>IFERROR(IF($A14=B$13,1000000,SQRT(SUMXMY2($C2:$F2,INDEX($C$2:$F$11,B$13,0)))),1000000)</f>
        <v>1000000</v>
      </c>
      <c r="C14" s="7">
        <f>IFERROR(IF($A14=C$13,1000000,SQRT(SUMXMY2($C2:$F2,INDEX($C$2:$F$11,C$13,0)))),1000000)</f>
        <v>45.0693909432999</v>
      </c>
      <c r="D14" s="7">
        <f>IFERROR(IF($A14=D$13,1000000,SQRT(SUMXMY2($C2:$F2,INDEX($C$2:$F$11,D$13,0)))),1000000)</f>
        <v>55.9910707166777</v>
      </c>
      <c r="E14" s="7">
        <f>IFERROR(IF($A14=E$13,1000000,SQRT(SUMXMY2($C2:$F2,INDEX($C$2:$F$11,E$13,0)))),1000000)</f>
        <v>1000000</v>
      </c>
      <c r="F14" s="7">
        <f>IFERROR(IF($A14=F$13,1000000,SQRT(SUMXMY2($C2:$F2,INDEX($C$2:$F$11,F$13,0)))),1000000)</f>
        <v>1000000</v>
      </c>
      <c r="G14" s="7">
        <f>IFERROR(IF($A14=G$13,1000000,SQRT(SUMXMY2($C2:$F2,INDEX($C$2:$F$11,G$13,0)))),1000000)</f>
        <v>36.4725924496738</v>
      </c>
      <c r="H14" s="7">
        <f>IFERROR(IF($A14=H$13,1000000,SQRT(SUMXMY2($C2:$F2,INDEX($C$2:$F$11,H$13,0)))),1000000)</f>
        <v>152.788252166192</v>
      </c>
      <c r="I14" s="7">
        <f>IFERROR(IF($A14=I$13,1000000,SQRT(SUMXMY2($C2:$F2,INDEX($C$2:$F$11,I$13,0)))),1000000)</f>
        <v>24.5203996704785</v>
      </c>
      <c r="J14" s="7">
        <f>IFERROR(IF($A14=J$13,1000000,SQRT(SUMXMY2($C2:$F2,INDEX($C$2:$F$11,J$13,0)))),1000000)</f>
        <v>78.47451815717</v>
      </c>
      <c r="K14" s="7">
        <f>IFERROR(IF($A14=K$13,1000000,SQRT(SUMXMY2($C2:$F2,INDEX($C$2:$F$11,K$13,0)))),1000000)</f>
        <v>49.5302937604856</v>
      </c>
      <c r="L14" s="9">
        <f t="shared" ref="L14:L23" si="0">MATCH(MIN($B$14:$K$23),B14:K14,0)</f>
        <v>8</v>
      </c>
      <c r="N14" s="9">
        <f t="shared" ref="N14:Q14" si="1">AVERAGE(C4,C6)</f>
        <v>6.5</v>
      </c>
      <c r="O14" s="9">
        <f t="shared" si="1"/>
        <v>230.5</v>
      </c>
      <c r="P14" s="9">
        <f t="shared" si="1"/>
        <v>79</v>
      </c>
      <c r="Q14" s="9">
        <f t="shared" si="1"/>
        <v>34.5</v>
      </c>
    </row>
    <row r="15" spans="1:17">
      <c r="A15" s="6">
        <v>2</v>
      </c>
      <c r="B15" s="7">
        <f>IFERROR(IF($A15=B$13,1000000,SQRT(SUMXMY2($C3:$F3,INDEX($C$2:$F$11,B$13,0)))),1000000)</f>
        <v>45.0693909432999</v>
      </c>
      <c r="C15" s="7">
        <f>IFERROR(IF($A15=C$13,1000000,SQRT(SUMXMY2($C3:$F3,INDEX($C$2:$F$11,C$13,0)))),1000000)</f>
        <v>1000000</v>
      </c>
      <c r="D15" s="7">
        <f>IFERROR(IF($A15=D$13,1000000,SQRT(SUMXMY2($C3:$F3,INDEX($C$2:$F$11,D$13,0)))),1000000)</f>
        <v>41.6503301307445</v>
      </c>
      <c r="E15" s="7">
        <f>IFERROR(IF($A15=E$13,1000000,SQRT(SUMXMY2($C3:$F3,INDEX($C$2:$F$11,E$13,0)))),1000000)</f>
        <v>1000000</v>
      </c>
      <c r="F15" s="7">
        <f>IFERROR(IF($A15=F$13,1000000,SQRT(SUMXMY2($C3:$F3,INDEX($C$2:$F$11,F$13,0)))),1000000)</f>
        <v>1000000</v>
      </c>
      <c r="G15" s="7">
        <f>IFERROR(IF($A15=G$13,1000000,SQRT(SUMXMY2($C3:$F3,INDEX($C$2:$F$11,G$13,0)))),1000000)</f>
        <v>65.3146231712317</v>
      </c>
      <c r="H15" s="7">
        <f>IFERROR(IF($A15=H$13,1000000,SQRT(SUMXMY2($C3:$F3,INDEX($C$2:$F$11,H$13,0)))),1000000)</f>
        <v>193.832401832098</v>
      </c>
      <c r="I15" s="7">
        <f>IFERROR(IF($A15=I$13,1000000,SQRT(SUMXMY2($C3:$F3,INDEX($C$2:$F$11,I$13,0)))),1000000)</f>
        <v>47.8643917750973</v>
      </c>
      <c r="J15" s="7">
        <f>IFERROR(IF($A15=J$13,1000000,SQRT(SUMXMY2($C3:$F3,INDEX($C$2:$F$11,J$13,0)))),1000000)</f>
        <v>52.4785670536077</v>
      </c>
      <c r="K15" s="7">
        <f>IFERROR(IF($A15=K$13,1000000,SQRT(SUMXMY2($C3:$F3,INDEX($C$2:$F$11,K$13,0)))),1000000)</f>
        <v>89.0224690738243</v>
      </c>
      <c r="L15" s="9" t="e">
        <f t="shared" si="0"/>
        <v>#N/A</v>
      </c>
      <c r="N15" s="1">
        <v>6.5</v>
      </c>
      <c r="O15" s="1">
        <v>230.5</v>
      </c>
      <c r="P15" s="1">
        <v>79</v>
      </c>
      <c r="Q15" s="1">
        <v>34.5</v>
      </c>
    </row>
    <row r="16" spans="1:12">
      <c r="A16" s="6">
        <v>3</v>
      </c>
      <c r="B16" s="7">
        <f>IFERROR(IF($A16=B$13,1000000,SQRT(SUMXMY2($C4:$F4,INDEX($C$2:$F$11,B$13,0)))),1000000)</f>
        <v>55.9910707166777</v>
      </c>
      <c r="C16" s="7">
        <f>IFERROR(IF($A16=C$13,1000000,SQRT(SUMXMY2($C4:$F4,INDEX($C$2:$F$11,C$13,0)))),1000000)</f>
        <v>41.6503301307445</v>
      </c>
      <c r="D16" s="7">
        <f>IFERROR(IF($A16=D$13,1000000,SQRT(SUMXMY2($C4:$F4,INDEX($C$2:$F$11,D$13,0)))),1000000)</f>
        <v>1000000</v>
      </c>
      <c r="E16" s="7">
        <f>IFERROR(IF($A16=E$13,1000000,SQRT(SUMXMY2($C4:$F4,INDEX($C$2:$F$11,E$13,0)))),1000000)</f>
        <v>1000000</v>
      </c>
      <c r="F16" s="7">
        <f>IFERROR(IF($A16=F$13,1000000,SQRT(SUMXMY2($C4:$F4,INDEX($C$2:$F$11,F$13,0)))),1000000)</f>
        <v>1000000</v>
      </c>
      <c r="G16" s="7">
        <f>IFERROR(IF($A16=G$13,1000000,SQRT(SUMXMY2($C4:$F4,INDEX($C$2:$F$11,G$13,0)))),1000000)</f>
        <v>60.578461518926</v>
      </c>
      <c r="H16" s="7">
        <f>IFERROR(IF($A16=H$13,1000000,SQRT(SUMXMY2($C4:$F4,INDEX($C$2:$F$11,H$13,0)))),1000000)</f>
        <v>197.572138724062</v>
      </c>
      <c r="I16" s="7">
        <f>IFERROR(IF($A16=I$13,1000000,SQRT(SUMXMY2($C4:$F4,INDEX($C$2:$F$11,I$13,0)))),1000000)</f>
        <v>39.0352404885637</v>
      </c>
      <c r="J16" s="7">
        <f>IFERROR(IF($A16=J$13,1000000,SQRT(SUMXMY2($C4:$F4,INDEX($C$2:$F$11,J$13,0)))),1000000)</f>
        <v>29.9958330439413</v>
      </c>
      <c r="K16" s="7">
        <f>IFERROR(IF($A16=K$13,1000000,SQRT(SUMXMY2($C4:$F4,INDEX($C$2:$F$11,K$13,0)))),1000000)</f>
        <v>99.2055946003047</v>
      </c>
      <c r="L16" s="9" t="e">
        <f t="shared" si="0"/>
        <v>#N/A</v>
      </c>
    </row>
    <row r="17" spans="1:12">
      <c r="A17" s="6">
        <v>4</v>
      </c>
      <c r="B17" s="7">
        <f>IFERROR(IF($A17=B$13,1000000,SQRT(SUMXMY2($C5:$F5,INDEX($C$2:$F$11,B$13,0)))),1000000)</f>
        <v>1000000</v>
      </c>
      <c r="C17" s="7">
        <f>IFERROR(IF($A17=C$13,1000000,SQRT(SUMXMY2($C5:$F5,INDEX($C$2:$F$11,C$13,0)))),1000000)</f>
        <v>1000000</v>
      </c>
      <c r="D17" s="7">
        <f>IFERROR(IF($A17=D$13,1000000,SQRT(SUMXMY2($C5:$F5,INDEX($C$2:$F$11,D$13,0)))),1000000)</f>
        <v>1000000</v>
      </c>
      <c r="E17" s="7">
        <f>IFERROR(IF($A17=E$13,1000000,SQRT(SUMXMY2($C5:$F5,INDEX($C$2:$F$11,E$13,0)))),1000000)</f>
        <v>1000000</v>
      </c>
      <c r="F17" s="7">
        <f>IFERROR(IF($A17=F$13,1000000,SQRT(SUMXMY2($C5:$F5,INDEX($C$2:$F$11,F$13,0)))),1000000)</f>
        <v>1000000</v>
      </c>
      <c r="G17" s="7">
        <f>IFERROR(IF($A17=G$13,1000000,SQRT(SUMXMY2($C5:$F5,INDEX($C$2:$F$11,G$13,0)))),1000000)</f>
        <v>1000000</v>
      </c>
      <c r="H17" s="7">
        <f>IFERROR(IF($A17=H$13,1000000,SQRT(SUMXMY2($C5:$F5,INDEX($C$2:$F$11,H$13,0)))),1000000)</f>
        <v>1000000</v>
      </c>
      <c r="I17" s="7">
        <f>IFERROR(IF($A17=I$13,1000000,SQRT(SUMXMY2($C5:$F5,INDEX($C$2:$F$11,I$13,0)))),1000000)</f>
        <v>1000000</v>
      </c>
      <c r="J17" s="7">
        <f>IFERROR(IF($A17=J$13,1000000,SQRT(SUMXMY2($C5:$F5,INDEX($C$2:$F$11,J$13,0)))),1000000)</f>
        <v>1000000</v>
      </c>
      <c r="K17" s="7">
        <f>IFERROR(IF($A17=K$13,1000000,SQRT(SUMXMY2($C5:$F5,INDEX($C$2:$F$11,K$13,0)))),1000000)</f>
        <v>1000000</v>
      </c>
      <c r="L17" s="9" t="e">
        <f t="shared" si="0"/>
        <v>#N/A</v>
      </c>
    </row>
    <row r="18" spans="1:12">
      <c r="A18" s="6">
        <v>5</v>
      </c>
      <c r="B18" s="7">
        <f>IFERROR(IF($A18=B$13,1000000,SQRT(SUMXMY2($C6:$F6,INDEX($C$2:$F$11,B$13,0)))),1000000)</f>
        <v>1000000</v>
      </c>
      <c r="C18" s="7">
        <f>IFERROR(IF($A18=C$13,1000000,SQRT(SUMXMY2($C6:$F6,INDEX($C$2:$F$11,C$13,0)))),1000000)</f>
        <v>1000000</v>
      </c>
      <c r="D18" s="7">
        <f>IFERROR(IF($A18=D$13,1000000,SQRT(SUMXMY2($C6:$F6,INDEX($C$2:$F$11,D$13,0)))),1000000)</f>
        <v>1000000</v>
      </c>
      <c r="E18" s="7">
        <f>IFERROR(IF($A18=E$13,1000000,SQRT(SUMXMY2($C6:$F6,INDEX($C$2:$F$11,E$13,0)))),1000000)</f>
        <v>1000000</v>
      </c>
      <c r="F18" s="7">
        <f>IFERROR(IF($A18=F$13,1000000,SQRT(SUMXMY2($C6:$F6,INDEX($C$2:$F$11,F$13,0)))),1000000)</f>
        <v>1000000</v>
      </c>
      <c r="G18" s="7">
        <f>IFERROR(IF($A18=G$13,1000000,SQRT(SUMXMY2($C6:$F6,INDEX($C$2:$F$11,G$13,0)))),1000000)</f>
        <v>1000000</v>
      </c>
      <c r="H18" s="7">
        <f>IFERROR(IF($A18=H$13,1000000,SQRT(SUMXMY2($C6:$F6,INDEX($C$2:$F$11,H$13,0)))),1000000)</f>
        <v>1000000</v>
      </c>
      <c r="I18" s="7">
        <f>IFERROR(IF($A18=I$13,1000000,SQRT(SUMXMY2($C6:$F6,INDEX($C$2:$F$11,I$13,0)))),1000000)</f>
        <v>1000000</v>
      </c>
      <c r="J18" s="7">
        <f>IFERROR(IF($A18=J$13,1000000,SQRT(SUMXMY2($C6:$F6,INDEX($C$2:$F$11,J$13,0)))),1000000)</f>
        <v>1000000</v>
      </c>
      <c r="K18" s="7">
        <f>IFERROR(IF($A18=K$13,1000000,SQRT(SUMXMY2($C6:$F6,INDEX($C$2:$F$11,K$13,0)))),1000000)</f>
        <v>1000000</v>
      </c>
      <c r="L18" s="9" t="e">
        <f t="shared" si="0"/>
        <v>#N/A</v>
      </c>
    </row>
    <row r="19" spans="1:12">
      <c r="A19" s="6">
        <v>6</v>
      </c>
      <c r="B19" s="7">
        <f>IFERROR(IF($A19=B$13,1000000,SQRT(SUMXMY2($C7:$F7,INDEX($C$2:$F$11,B$13,0)))),1000000)</f>
        <v>36.4725924496738</v>
      </c>
      <c r="C19" s="7">
        <f>IFERROR(IF($A19=C$13,1000000,SQRT(SUMXMY2($C7:$F7,INDEX($C$2:$F$11,C$13,0)))),1000000)</f>
        <v>65.3146231712317</v>
      </c>
      <c r="D19" s="7">
        <f>IFERROR(IF($A19=D$13,1000000,SQRT(SUMXMY2($C7:$F7,INDEX($C$2:$F$11,D$13,0)))),1000000)</f>
        <v>60.578461518926</v>
      </c>
      <c r="E19" s="7">
        <f>IFERROR(IF($A19=E$13,1000000,SQRT(SUMXMY2($C7:$F7,INDEX($C$2:$F$11,E$13,0)))),1000000)</f>
        <v>1000000</v>
      </c>
      <c r="F19" s="7">
        <f>IFERROR(IF($A19=F$13,1000000,SQRT(SUMXMY2($C7:$F7,INDEX($C$2:$F$11,F$13,0)))),1000000)</f>
        <v>1000000</v>
      </c>
      <c r="G19" s="7">
        <f>IFERROR(IF($A19=G$13,1000000,SQRT(SUMXMY2($C7:$F7,INDEX($C$2:$F$11,G$13,0)))),1000000)</f>
        <v>1000000</v>
      </c>
      <c r="H19" s="7">
        <f>IFERROR(IF($A19=H$13,1000000,SQRT(SUMXMY2($C7:$F7,INDEX($C$2:$F$11,H$13,0)))),1000000)</f>
        <v>138.416039532996</v>
      </c>
      <c r="I19" s="7">
        <f>IFERROR(IF($A19=I$13,1000000,SQRT(SUMXMY2($C7:$F7,INDEX($C$2:$F$11,I$13,0)))),1000000)</f>
        <v>36.5102725270574</v>
      </c>
      <c r="J19" s="7">
        <f>IFERROR(IF($A19=J$13,1000000,SQRT(SUMXMY2($C7:$F7,INDEX($C$2:$F$11,J$13,0)))),1000000)</f>
        <v>89.7217922246318</v>
      </c>
      <c r="K19" s="7">
        <f>IFERROR(IF($A19=K$13,1000000,SQRT(SUMXMY2($C7:$F7,INDEX($C$2:$F$11,K$13,0)))),1000000)</f>
        <v>45.8366665454634</v>
      </c>
      <c r="L19" s="9" t="e">
        <f t="shared" si="0"/>
        <v>#N/A</v>
      </c>
    </row>
    <row r="20" spans="1:12">
      <c r="A20" s="6">
        <v>7</v>
      </c>
      <c r="B20" s="7">
        <f>IFERROR(IF($A20=B$13,1000000,SQRT(SUMXMY2($C8:$F8,INDEX($C$2:$F$11,B$13,0)))),1000000)</f>
        <v>152.788252166192</v>
      </c>
      <c r="C20" s="7">
        <f>IFERROR(IF($A20=C$13,1000000,SQRT(SUMXMY2($C8:$F8,INDEX($C$2:$F$11,C$13,0)))),1000000)</f>
        <v>193.832401832098</v>
      </c>
      <c r="D20" s="7">
        <f>IFERROR(IF($A20=D$13,1000000,SQRT(SUMXMY2($C8:$F8,INDEX($C$2:$F$11,D$13,0)))),1000000)</f>
        <v>197.572138724062</v>
      </c>
      <c r="E20" s="7">
        <f>IFERROR(IF($A20=E$13,1000000,SQRT(SUMXMY2($C8:$F8,INDEX($C$2:$F$11,E$13,0)))),1000000)</f>
        <v>1000000</v>
      </c>
      <c r="F20" s="7">
        <f>IFERROR(IF($A20=F$13,1000000,SQRT(SUMXMY2($C8:$F8,INDEX($C$2:$F$11,F$13,0)))),1000000)</f>
        <v>1000000</v>
      </c>
      <c r="G20" s="7">
        <f>IFERROR(IF($A20=G$13,1000000,SQRT(SUMXMY2($C8:$F8,INDEX($C$2:$F$11,G$13,0)))),1000000)</f>
        <v>138.416039532996</v>
      </c>
      <c r="H20" s="7">
        <f>IFERROR(IF($A20=H$13,1000000,SQRT(SUMXMY2($C8:$F8,INDEX($C$2:$F$11,H$13,0)))),1000000)</f>
        <v>1000000</v>
      </c>
      <c r="I20" s="7">
        <f>IFERROR(IF($A20=I$13,1000000,SQRT(SUMXMY2($C8:$F8,INDEX($C$2:$F$11,I$13,0)))),1000000)</f>
        <v>163.321768298044</v>
      </c>
      <c r="J20" s="7">
        <f>IFERROR(IF($A20=J$13,1000000,SQRT(SUMXMY2($C8:$F8,INDEX($C$2:$F$11,J$13,0)))),1000000)</f>
        <v>225.554871372799</v>
      </c>
      <c r="K20" s="7">
        <f>IFERROR(IF($A20=K$13,1000000,SQRT(SUMXMY2($C8:$F8,INDEX($C$2:$F$11,K$13,0)))),1000000)</f>
        <v>106.037729134493</v>
      </c>
      <c r="L20" s="9" t="e">
        <f t="shared" si="0"/>
        <v>#N/A</v>
      </c>
    </row>
    <row r="21" spans="1:12">
      <c r="A21" s="6">
        <v>8</v>
      </c>
      <c r="B21" s="7">
        <f>IFERROR(IF($A21=B$13,1000000,SQRT(SUMXMY2($C9:$F9,INDEX($C$2:$F$11,B$13,0)))),1000000)</f>
        <v>24.5203996704785</v>
      </c>
      <c r="C21" s="7">
        <f>IFERROR(IF($A21=C$13,1000000,SQRT(SUMXMY2($C9:$F9,INDEX($C$2:$F$11,C$13,0)))),1000000)</f>
        <v>47.8643917750973</v>
      </c>
      <c r="D21" s="7">
        <f>IFERROR(IF($A21=D$13,1000000,SQRT(SUMXMY2($C9:$F9,INDEX($C$2:$F$11,D$13,0)))),1000000)</f>
        <v>39.0352404885637</v>
      </c>
      <c r="E21" s="7">
        <f>IFERROR(IF($A21=E$13,1000000,SQRT(SUMXMY2($C9:$F9,INDEX($C$2:$F$11,E$13,0)))),1000000)</f>
        <v>1000000</v>
      </c>
      <c r="F21" s="7">
        <f>IFERROR(IF($A21=F$13,1000000,SQRT(SUMXMY2($C9:$F9,INDEX($C$2:$F$11,F$13,0)))),1000000)</f>
        <v>1000000</v>
      </c>
      <c r="G21" s="7">
        <f>IFERROR(IF($A21=G$13,1000000,SQRT(SUMXMY2($C9:$F9,INDEX($C$2:$F$11,G$13,0)))),1000000)</f>
        <v>36.5102725270574</v>
      </c>
      <c r="H21" s="7">
        <f>IFERROR(IF($A21=H$13,1000000,SQRT(SUMXMY2($C9:$F9,INDEX($C$2:$F$11,H$13,0)))),1000000)</f>
        <v>163.321768298044</v>
      </c>
      <c r="I21" s="7">
        <f>IFERROR(IF($A21=I$13,1000000,SQRT(SUMXMY2($C9:$F9,INDEX($C$2:$F$11,I$13,0)))),1000000)</f>
        <v>1000000</v>
      </c>
      <c r="J21" s="7">
        <f>IFERROR(IF($A21=J$13,1000000,SQRT(SUMXMY2($C9:$F9,INDEX($C$2:$F$11,J$13,0)))),1000000)</f>
        <v>63.5845893279181</v>
      </c>
      <c r="K21" s="7">
        <f>IFERROR(IF($A21=K$13,1000000,SQRT(SUMXMY2($C9:$F9,INDEX($C$2:$F$11,K$13,0)))),1000000)</f>
        <v>66.1059755241536</v>
      </c>
      <c r="L21" s="9">
        <f t="shared" si="0"/>
        <v>1</v>
      </c>
    </row>
    <row r="22" spans="1:12">
      <c r="A22" s="6">
        <v>9</v>
      </c>
      <c r="B22" s="7">
        <f>IFERROR(IF($A22=B$13,1000000,SQRT(SUMXMY2($C10:$F10,INDEX($C$2:$F$11,B$13,0)))),1000000)</f>
        <v>78.47451815717</v>
      </c>
      <c r="C22" s="7">
        <f>IFERROR(IF($A22=C$13,1000000,SQRT(SUMXMY2($C10:$F10,INDEX($C$2:$F$11,C$13,0)))),1000000)</f>
        <v>52.4785670536077</v>
      </c>
      <c r="D22" s="7">
        <f>IFERROR(IF($A22=D$13,1000000,SQRT(SUMXMY2($C10:$F10,INDEX($C$2:$F$11,D$13,0)))),1000000)</f>
        <v>29.9958330439413</v>
      </c>
      <c r="E22" s="7">
        <f>IFERROR(IF($A22=E$13,1000000,SQRT(SUMXMY2($C10:$F10,INDEX($C$2:$F$11,E$13,0)))),1000000)</f>
        <v>1000000</v>
      </c>
      <c r="F22" s="7">
        <f>IFERROR(IF($A22=F$13,1000000,SQRT(SUMXMY2($C10:$F10,INDEX($C$2:$F$11,F$13,0)))),1000000)</f>
        <v>1000000</v>
      </c>
      <c r="G22" s="7">
        <f>IFERROR(IF($A22=G$13,1000000,SQRT(SUMXMY2($C10:$F10,INDEX($C$2:$F$11,G$13,0)))),1000000)</f>
        <v>89.7217922246318</v>
      </c>
      <c r="H22" s="7">
        <f>IFERROR(IF($A22=H$13,1000000,SQRT(SUMXMY2($C10:$F10,INDEX($C$2:$F$11,H$13,0)))),1000000)</f>
        <v>225.554871372799</v>
      </c>
      <c r="I22" s="7">
        <f>IFERROR(IF($A22=I$13,1000000,SQRT(SUMXMY2($C10:$F10,INDEX($C$2:$F$11,I$13,0)))),1000000)</f>
        <v>63.5845893279181</v>
      </c>
      <c r="J22" s="7">
        <f>IFERROR(IF($A22=J$13,1000000,SQRT(SUMXMY2($C10:$F10,INDEX($C$2:$F$11,J$13,0)))),1000000)</f>
        <v>1000000</v>
      </c>
      <c r="K22" s="7">
        <f>IFERROR(IF($A22=K$13,1000000,SQRT(SUMXMY2($C10:$F10,INDEX($C$2:$F$11,K$13,0)))),1000000)</f>
        <v>125.111949868907</v>
      </c>
      <c r="L22" s="9" t="e">
        <f t="shared" si="0"/>
        <v>#N/A</v>
      </c>
    </row>
    <row r="23" spans="1:12">
      <c r="A23" s="6">
        <v>10</v>
      </c>
      <c r="B23" s="7">
        <f>IFERROR(IF($A23=B$13,1000000,SQRT(SUMXMY2($C11:$F11,INDEX($C$2:$F$11,B$13,0)))),1000000)</f>
        <v>49.5302937604856</v>
      </c>
      <c r="C23" s="7">
        <f>IFERROR(IF($A23=C$13,1000000,SQRT(SUMXMY2($C11:$F11,INDEX($C$2:$F$11,C$13,0)))),1000000)</f>
        <v>89.0224690738243</v>
      </c>
      <c r="D23" s="7">
        <f>IFERROR(IF($A23=D$13,1000000,SQRT(SUMXMY2($C11:$F11,INDEX($C$2:$F$11,D$13,0)))),1000000)</f>
        <v>99.2055946003047</v>
      </c>
      <c r="E23" s="7">
        <f>IFERROR(IF($A23=E$13,1000000,SQRT(SUMXMY2($C11:$F11,INDEX($C$2:$F$11,E$13,0)))),1000000)</f>
        <v>1000000</v>
      </c>
      <c r="F23" s="7">
        <f>IFERROR(IF($A23=F$13,1000000,SQRT(SUMXMY2($C11:$F11,INDEX($C$2:$F$11,F$13,0)))),1000000)</f>
        <v>1000000</v>
      </c>
      <c r="G23" s="7">
        <f>IFERROR(IF($A23=G$13,1000000,SQRT(SUMXMY2($C11:$F11,INDEX($C$2:$F$11,G$13,0)))),1000000)</f>
        <v>45.8366665454634</v>
      </c>
      <c r="H23" s="7">
        <f>IFERROR(IF($A23=H$13,1000000,SQRT(SUMXMY2($C11:$F11,INDEX($C$2:$F$11,H$13,0)))),1000000)</f>
        <v>106.037729134493</v>
      </c>
      <c r="I23" s="7">
        <f>IFERROR(IF($A23=I$13,1000000,SQRT(SUMXMY2($C11:$F11,INDEX($C$2:$F$11,I$13,0)))),1000000)</f>
        <v>66.1059755241536</v>
      </c>
      <c r="J23" s="7">
        <f>IFERROR(IF($A23=J$13,1000000,SQRT(SUMXMY2($C11:$F11,INDEX($C$2:$F$11,J$13,0)))),1000000)</f>
        <v>125.111949868907</v>
      </c>
      <c r="K23" s="7">
        <f>IFERROR(IF($A23=K$13,1000000,SQRT(SUMXMY2($C11:$F11,INDEX($C$2:$F$11,K$13,0)))),1000000)</f>
        <v>1000000</v>
      </c>
      <c r="L23" s="9" t="e">
        <f t="shared" si="0"/>
        <v>#N/A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workbookViewId="0">
      <selection activeCell="G32" sqref="G32"/>
    </sheetView>
  </sheetViews>
  <sheetFormatPr defaultColWidth="9" defaultRowHeight="15"/>
  <cols>
    <col min="1" max="1" width="9" style="1"/>
    <col min="2" max="4" width="12.8571428571429" style="1"/>
    <col min="5" max="5" width="9" style="1"/>
    <col min="6" max="8" width="12.8571428571429" style="1"/>
    <col min="9" max="9" width="9" style="1"/>
    <col min="10" max="11" width="12.8571428571429" style="1"/>
    <col min="12" max="13" width="9" style="1"/>
    <col min="14" max="15" width="12.8571428571429" style="1"/>
    <col min="16" max="16" width="9" style="1"/>
    <col min="17" max="17" width="12.8571428571429" style="1"/>
    <col min="18" max="16384" width="9" style="1"/>
  </cols>
  <sheetData>
    <row r="1" spans="1:1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0">
      <c r="A2" s="4">
        <v>1</v>
      </c>
      <c r="B2" s="1" t="s">
        <v>16</v>
      </c>
      <c r="C2" s="1">
        <v>8</v>
      </c>
      <c r="D2" s="1">
        <v>189.333333333333</v>
      </c>
      <c r="E2" s="1">
        <v>57</v>
      </c>
      <c r="F2" s="1">
        <v>17.6666666666667</v>
      </c>
      <c r="G2" s="1">
        <v>11</v>
      </c>
      <c r="H2" s="1">
        <v>1</v>
      </c>
      <c r="I2" s="1">
        <v>1</v>
      </c>
      <c r="J2" s="10">
        <v>1</v>
      </c>
    </row>
    <row r="3" spans="1:10">
      <c r="A3" s="4">
        <v>2</v>
      </c>
      <c r="B3" s="1" t="s">
        <v>24</v>
      </c>
      <c r="C3" s="1">
        <v>9</v>
      </c>
      <c r="D3" s="1">
        <v>222</v>
      </c>
      <c r="E3" s="1">
        <v>39</v>
      </c>
      <c r="F3" s="1">
        <v>42</v>
      </c>
      <c r="G3" s="1">
        <v>12</v>
      </c>
      <c r="H3" s="1">
        <v>12</v>
      </c>
      <c r="I3" s="1">
        <v>12</v>
      </c>
      <c r="J3" s="10">
        <v>12</v>
      </c>
    </row>
    <row r="4" spans="1:10">
      <c r="A4" s="4">
        <v>3</v>
      </c>
      <c r="B4" s="1" t="s">
        <v>21</v>
      </c>
      <c r="C4" s="1">
        <v>6.5</v>
      </c>
      <c r="D4" s="1">
        <v>230.5</v>
      </c>
      <c r="E4" s="1">
        <v>79</v>
      </c>
      <c r="F4" s="1">
        <v>34.5</v>
      </c>
      <c r="G4" s="1">
        <v>13</v>
      </c>
      <c r="H4" s="1">
        <v>13</v>
      </c>
      <c r="I4" s="1">
        <v>2</v>
      </c>
      <c r="J4" s="10">
        <v>2</v>
      </c>
    </row>
    <row r="5" spans="1:10">
      <c r="A5" s="4">
        <v>4</v>
      </c>
      <c r="B5" s="1" t="s">
        <v>17</v>
      </c>
      <c r="G5" s="1">
        <v>14</v>
      </c>
      <c r="H5" s="1">
        <v>1</v>
      </c>
      <c r="I5" s="1">
        <v>1</v>
      </c>
      <c r="J5" s="10">
        <v>1</v>
      </c>
    </row>
    <row r="6" spans="1:10">
      <c r="A6" s="4">
        <v>5</v>
      </c>
      <c r="B6" s="1" t="s">
        <v>22</v>
      </c>
      <c r="G6" s="1">
        <v>15</v>
      </c>
      <c r="H6" s="1">
        <v>15</v>
      </c>
      <c r="I6" s="1">
        <v>2</v>
      </c>
      <c r="J6" s="10">
        <v>2</v>
      </c>
    </row>
    <row r="7" spans="1:10">
      <c r="A7" s="4">
        <v>6</v>
      </c>
      <c r="B7" s="1" t="s">
        <v>19</v>
      </c>
      <c r="C7" s="1">
        <v>5</v>
      </c>
      <c r="D7" s="1">
        <v>170</v>
      </c>
      <c r="E7" s="1">
        <v>78</v>
      </c>
      <c r="F7" s="1">
        <v>37</v>
      </c>
      <c r="G7" s="1">
        <v>16</v>
      </c>
      <c r="H7" s="1">
        <v>16</v>
      </c>
      <c r="I7" s="1">
        <v>16</v>
      </c>
      <c r="J7" s="10">
        <v>16</v>
      </c>
    </row>
    <row r="8" spans="1:10">
      <c r="A8" s="4">
        <v>7</v>
      </c>
      <c r="B8" s="1" t="s">
        <v>25</v>
      </c>
      <c r="C8" s="1">
        <v>0</v>
      </c>
      <c r="D8" s="1">
        <v>35</v>
      </c>
      <c r="E8" s="1">
        <v>75</v>
      </c>
      <c r="F8" s="1">
        <v>7</v>
      </c>
      <c r="G8" s="1">
        <v>17</v>
      </c>
      <c r="H8" s="1">
        <v>17</v>
      </c>
      <c r="I8" s="1">
        <v>17</v>
      </c>
      <c r="J8" s="10">
        <v>17</v>
      </c>
    </row>
    <row r="9" spans="1:10">
      <c r="A9" s="4">
        <v>8</v>
      </c>
      <c r="B9" s="1" t="s">
        <v>18</v>
      </c>
      <c r="G9" s="1">
        <v>18</v>
      </c>
      <c r="H9" s="1">
        <v>18</v>
      </c>
      <c r="I9" s="1">
        <v>18</v>
      </c>
      <c r="J9" s="10">
        <v>1</v>
      </c>
    </row>
    <row r="10" spans="1:10">
      <c r="A10" s="4">
        <v>9</v>
      </c>
      <c r="B10" s="1" t="s">
        <v>23</v>
      </c>
      <c r="C10" s="1">
        <v>13</v>
      </c>
      <c r="D10" s="1">
        <v>259</v>
      </c>
      <c r="E10" s="1">
        <v>74</v>
      </c>
      <c r="F10" s="1">
        <v>30</v>
      </c>
      <c r="G10" s="1">
        <v>19</v>
      </c>
      <c r="H10" s="1">
        <v>19</v>
      </c>
      <c r="I10" s="1">
        <v>19</v>
      </c>
      <c r="J10" s="10">
        <v>19</v>
      </c>
    </row>
    <row r="11" spans="1:10">
      <c r="A11" s="5">
        <v>10</v>
      </c>
      <c r="B11" s="1" t="s">
        <v>20</v>
      </c>
      <c r="C11" s="1">
        <v>15</v>
      </c>
      <c r="D11" s="1">
        <v>136</v>
      </c>
      <c r="E11" s="1">
        <v>52</v>
      </c>
      <c r="F11" s="1">
        <v>24</v>
      </c>
      <c r="G11" s="1">
        <v>20</v>
      </c>
      <c r="H11" s="1">
        <v>20</v>
      </c>
      <c r="I11" s="1">
        <v>20</v>
      </c>
      <c r="J11" s="10">
        <v>20</v>
      </c>
    </row>
    <row r="13" spans="2:11"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</row>
    <row r="14" spans="1:17">
      <c r="A14" s="6">
        <v>1</v>
      </c>
      <c r="B14" s="7">
        <f>IFERROR(IF($A14=B$13,1000000,SQRT(SUMXMY2($C2:$F2,INDEX($C$2:$F$11,B$13,0)))),1000000)</f>
        <v>1000000</v>
      </c>
      <c r="C14" s="7">
        <f>IFERROR(IF($A14=C$13,1000000,SQRT(SUMXMY2($C2:$F2,INDEX($C$2:$F$11,C$13,0)))),1000000)</f>
        <v>44.544609350877</v>
      </c>
      <c r="D14" s="7">
        <f>IFERROR(IF($A14=D$13,1000000,SQRT(SUMXMY2($C2:$F2,INDEX($C$2:$F$11,D$13,0)))),1000000)</f>
        <v>49.641772284595</v>
      </c>
      <c r="E14" s="7">
        <f>IFERROR(IF($A14=E$13,1000000,SQRT(SUMXMY2($C2:$F2,INDEX($C$2:$F$11,E$13,0)))),1000000)</f>
        <v>1000000</v>
      </c>
      <c r="F14" s="7">
        <f>IFERROR(IF($A14=F$13,1000000,SQRT(SUMXMY2($C2:$F2,INDEX($C$2:$F$11,F$13,0)))),1000000)</f>
        <v>1000000</v>
      </c>
      <c r="G14" s="7">
        <f>IFERROR(IF($A14=G$13,1000000,SQRT(SUMXMY2($C2:$F2,INDEX($C$2:$F$11,G$13,0)))),1000000)</f>
        <v>34.6057156486547</v>
      </c>
      <c r="H14" s="7">
        <f>IFERROR(IF($A14=H$13,1000000,SQRT(SUMXMY2($C2:$F2,INDEX($C$2:$F$11,H$13,0)))),1000000)</f>
        <v>155.950490719188</v>
      </c>
      <c r="I14" s="7">
        <f>IFERROR(IF($A14=I$13,1000000,SQRT(SUMXMY2($C2:$F2,INDEX($C$2:$F$11,I$13,0)))),1000000)</f>
        <v>1000000</v>
      </c>
      <c r="J14" s="7">
        <f>IFERROR(IF($A14=J$13,1000000,SQRT(SUMXMY2($C2:$F2,INDEX($C$2:$F$11,J$13,0)))),1000000)</f>
        <v>72.9352833377344</v>
      </c>
      <c r="K14" s="7">
        <f>IFERROR(IF($A14=K$13,1000000,SQRT(SUMXMY2($C2:$F2,INDEX($C$2:$F$11,K$13,0)))),1000000)</f>
        <v>54.3926057066171</v>
      </c>
      <c r="L14" s="9" t="e">
        <f t="shared" ref="L14:L23" si="0">MATCH(MIN($B$14:$K$23),B14:K14,0)</f>
        <v>#N/A</v>
      </c>
      <c r="N14" s="9">
        <f t="shared" ref="N14:Q14" si="1">SUM(C2*2,C9)/3</f>
        <v>5.33333333333333</v>
      </c>
      <c r="O14" s="9">
        <f t="shared" si="1"/>
        <v>126.222222222222</v>
      </c>
      <c r="P14" s="9">
        <f t="shared" si="1"/>
        <v>38</v>
      </c>
      <c r="Q14" s="9">
        <f t="shared" si="1"/>
        <v>11.7777777777778</v>
      </c>
    </row>
    <row r="15" spans="1:17">
      <c r="A15" s="6">
        <v>2</v>
      </c>
      <c r="B15" s="7">
        <f>IFERROR(IF($A15=B$13,1000000,SQRT(SUMXMY2($C3:$F3,INDEX($C$2:$F$11,B$13,0)))),1000000)</f>
        <v>44.544609350877</v>
      </c>
      <c r="C15" s="7">
        <f>IFERROR(IF($A15=C$13,1000000,SQRT(SUMXMY2($C3:$F3,INDEX($C$2:$F$11,C$13,0)))),1000000)</f>
        <v>1000000</v>
      </c>
      <c r="D15" s="7">
        <f>IFERROR(IF($A15=D$13,1000000,SQRT(SUMXMY2($C3:$F3,INDEX($C$2:$F$11,D$13,0)))),1000000)</f>
        <v>41.6503301307445</v>
      </c>
      <c r="E15" s="7">
        <f>IFERROR(IF($A15=E$13,1000000,SQRT(SUMXMY2($C3:$F3,INDEX($C$2:$F$11,E$13,0)))),1000000)</f>
        <v>1000000</v>
      </c>
      <c r="F15" s="7">
        <f>IFERROR(IF($A15=F$13,1000000,SQRT(SUMXMY2($C3:$F3,INDEX($C$2:$F$11,F$13,0)))),1000000)</f>
        <v>1000000</v>
      </c>
      <c r="G15" s="7">
        <f>IFERROR(IF($A15=G$13,1000000,SQRT(SUMXMY2($C3:$F3,INDEX($C$2:$F$11,G$13,0)))),1000000)</f>
        <v>65.3146231712317</v>
      </c>
      <c r="H15" s="7">
        <f>IFERROR(IF($A15=H$13,1000000,SQRT(SUMXMY2($C3:$F3,INDEX($C$2:$F$11,H$13,0)))),1000000)</f>
        <v>193.832401832098</v>
      </c>
      <c r="I15" s="7">
        <f>IFERROR(IF($A15=I$13,1000000,SQRT(SUMXMY2($C3:$F3,INDEX($C$2:$F$11,I$13,0)))),1000000)</f>
        <v>1000000</v>
      </c>
      <c r="J15" s="7">
        <f>IFERROR(IF($A15=J$13,1000000,SQRT(SUMXMY2($C3:$F3,INDEX($C$2:$F$11,J$13,0)))),1000000)</f>
        <v>52.4785670536077</v>
      </c>
      <c r="K15" s="7">
        <f>IFERROR(IF($A15=K$13,1000000,SQRT(SUMXMY2($C3:$F3,INDEX($C$2:$F$11,K$13,0)))),1000000)</f>
        <v>89.0224690738243</v>
      </c>
      <c r="L15" s="9" t="e">
        <f t="shared" si="0"/>
        <v>#N/A</v>
      </c>
      <c r="N15" s="1">
        <v>8</v>
      </c>
      <c r="O15" s="1">
        <v>189.333333333333</v>
      </c>
      <c r="P15" s="1">
        <v>57</v>
      </c>
      <c r="Q15" s="1">
        <v>17.6666666666667</v>
      </c>
    </row>
    <row r="16" spans="1:12">
      <c r="A16" s="6">
        <v>3</v>
      </c>
      <c r="B16" s="7">
        <f>IFERROR(IF($A16=B$13,1000000,SQRT(SUMXMY2($C4:$F4,INDEX($C$2:$F$11,B$13,0)))),1000000)</f>
        <v>49.641772284595</v>
      </c>
      <c r="C16" s="7">
        <f>IFERROR(IF($A16=C$13,1000000,SQRT(SUMXMY2($C4:$F4,INDEX($C$2:$F$11,C$13,0)))),1000000)</f>
        <v>41.6503301307445</v>
      </c>
      <c r="D16" s="7">
        <f>IFERROR(IF($A16=D$13,1000000,SQRT(SUMXMY2($C4:$F4,INDEX($C$2:$F$11,D$13,0)))),1000000)</f>
        <v>1000000</v>
      </c>
      <c r="E16" s="7">
        <f>IFERROR(IF($A16=E$13,1000000,SQRT(SUMXMY2($C4:$F4,INDEX($C$2:$F$11,E$13,0)))),1000000)</f>
        <v>1000000</v>
      </c>
      <c r="F16" s="7">
        <f>IFERROR(IF($A16=F$13,1000000,SQRT(SUMXMY2($C4:$F4,INDEX($C$2:$F$11,F$13,0)))),1000000)</f>
        <v>1000000</v>
      </c>
      <c r="G16" s="7">
        <f>IFERROR(IF($A16=G$13,1000000,SQRT(SUMXMY2($C4:$F4,INDEX($C$2:$F$11,G$13,0)))),1000000)</f>
        <v>60.578461518926</v>
      </c>
      <c r="H16" s="7">
        <f>IFERROR(IF($A16=H$13,1000000,SQRT(SUMXMY2($C4:$F4,INDEX($C$2:$F$11,H$13,0)))),1000000)</f>
        <v>197.572138724062</v>
      </c>
      <c r="I16" s="7">
        <f>IFERROR(IF($A16=I$13,1000000,SQRT(SUMXMY2($C4:$F4,INDEX($C$2:$F$11,I$13,0)))),1000000)</f>
        <v>1000000</v>
      </c>
      <c r="J16" s="7">
        <f>IFERROR(IF($A16=J$13,1000000,SQRT(SUMXMY2($C4:$F4,INDEX($C$2:$F$11,J$13,0)))),1000000)</f>
        <v>29.9958330439413</v>
      </c>
      <c r="K16" s="7">
        <f>IFERROR(IF($A16=K$13,1000000,SQRT(SUMXMY2($C4:$F4,INDEX($C$2:$F$11,K$13,0)))),1000000)</f>
        <v>99.2055946003047</v>
      </c>
      <c r="L16" s="9">
        <f t="shared" si="0"/>
        <v>9</v>
      </c>
    </row>
    <row r="17" spans="1:12">
      <c r="A17" s="6">
        <v>4</v>
      </c>
      <c r="B17" s="7">
        <f>IFERROR(IF($A17=B$13,1000000,SQRT(SUMXMY2($C5:$F5,INDEX($C$2:$F$11,B$13,0)))),1000000)</f>
        <v>1000000</v>
      </c>
      <c r="C17" s="7">
        <f>IFERROR(IF($A17=C$13,1000000,SQRT(SUMXMY2($C5:$F5,INDEX($C$2:$F$11,C$13,0)))),1000000)</f>
        <v>1000000</v>
      </c>
      <c r="D17" s="7">
        <f>IFERROR(IF($A17=D$13,1000000,SQRT(SUMXMY2($C5:$F5,INDEX($C$2:$F$11,D$13,0)))),1000000)</f>
        <v>1000000</v>
      </c>
      <c r="E17" s="7">
        <f>IFERROR(IF($A17=E$13,1000000,SQRT(SUMXMY2($C5:$F5,INDEX($C$2:$F$11,E$13,0)))),1000000)</f>
        <v>1000000</v>
      </c>
      <c r="F17" s="7">
        <f>IFERROR(IF($A17=F$13,1000000,SQRT(SUMXMY2($C5:$F5,INDEX($C$2:$F$11,F$13,0)))),1000000)</f>
        <v>1000000</v>
      </c>
      <c r="G17" s="7">
        <f>IFERROR(IF($A17=G$13,1000000,SQRT(SUMXMY2($C5:$F5,INDEX($C$2:$F$11,G$13,0)))),1000000)</f>
        <v>1000000</v>
      </c>
      <c r="H17" s="7">
        <f>IFERROR(IF($A17=H$13,1000000,SQRT(SUMXMY2($C5:$F5,INDEX($C$2:$F$11,H$13,0)))),1000000)</f>
        <v>1000000</v>
      </c>
      <c r="I17" s="7">
        <f>IFERROR(IF($A17=I$13,1000000,SQRT(SUMXMY2($C5:$F5,INDEX($C$2:$F$11,I$13,0)))),1000000)</f>
        <v>1000000</v>
      </c>
      <c r="J17" s="7">
        <f>IFERROR(IF($A17=J$13,1000000,SQRT(SUMXMY2($C5:$F5,INDEX($C$2:$F$11,J$13,0)))),1000000)</f>
        <v>1000000</v>
      </c>
      <c r="K17" s="7">
        <f>IFERROR(IF($A17=K$13,1000000,SQRT(SUMXMY2($C5:$F5,INDEX($C$2:$F$11,K$13,0)))),1000000)</f>
        <v>1000000</v>
      </c>
      <c r="L17" s="9" t="e">
        <f t="shared" si="0"/>
        <v>#N/A</v>
      </c>
    </row>
    <row r="18" spans="1:12">
      <c r="A18" s="6">
        <v>5</v>
      </c>
      <c r="B18" s="7">
        <f>IFERROR(IF($A18=B$13,1000000,SQRT(SUMXMY2($C6:$F6,INDEX($C$2:$F$11,B$13,0)))),1000000)</f>
        <v>1000000</v>
      </c>
      <c r="C18" s="7">
        <f>IFERROR(IF($A18=C$13,1000000,SQRT(SUMXMY2($C6:$F6,INDEX($C$2:$F$11,C$13,0)))),1000000)</f>
        <v>1000000</v>
      </c>
      <c r="D18" s="7">
        <f>IFERROR(IF($A18=D$13,1000000,SQRT(SUMXMY2($C6:$F6,INDEX($C$2:$F$11,D$13,0)))),1000000)</f>
        <v>1000000</v>
      </c>
      <c r="E18" s="7">
        <f>IFERROR(IF($A18=E$13,1000000,SQRT(SUMXMY2($C6:$F6,INDEX($C$2:$F$11,E$13,0)))),1000000)</f>
        <v>1000000</v>
      </c>
      <c r="F18" s="7">
        <f>IFERROR(IF($A18=F$13,1000000,SQRT(SUMXMY2($C6:$F6,INDEX($C$2:$F$11,F$13,0)))),1000000)</f>
        <v>1000000</v>
      </c>
      <c r="G18" s="7">
        <f>IFERROR(IF($A18=G$13,1000000,SQRT(SUMXMY2($C6:$F6,INDEX($C$2:$F$11,G$13,0)))),1000000)</f>
        <v>1000000</v>
      </c>
      <c r="H18" s="7">
        <f>IFERROR(IF($A18=H$13,1000000,SQRT(SUMXMY2($C6:$F6,INDEX($C$2:$F$11,H$13,0)))),1000000)</f>
        <v>1000000</v>
      </c>
      <c r="I18" s="7">
        <f>IFERROR(IF($A18=I$13,1000000,SQRT(SUMXMY2($C6:$F6,INDEX($C$2:$F$11,I$13,0)))),1000000)</f>
        <v>1000000</v>
      </c>
      <c r="J18" s="7">
        <f>IFERROR(IF($A18=J$13,1000000,SQRT(SUMXMY2($C6:$F6,INDEX($C$2:$F$11,J$13,0)))),1000000)</f>
        <v>1000000</v>
      </c>
      <c r="K18" s="7">
        <f>IFERROR(IF($A18=K$13,1000000,SQRT(SUMXMY2($C6:$F6,INDEX($C$2:$F$11,K$13,0)))),1000000)</f>
        <v>1000000</v>
      </c>
      <c r="L18" s="9" t="e">
        <f t="shared" si="0"/>
        <v>#N/A</v>
      </c>
    </row>
    <row r="19" spans="1:12">
      <c r="A19" s="6">
        <v>6</v>
      </c>
      <c r="B19" s="7">
        <f>IFERROR(IF($A19=B$13,1000000,SQRT(SUMXMY2($C7:$F7,INDEX($C$2:$F$11,B$13,0)))),1000000)</f>
        <v>34.6057156486547</v>
      </c>
      <c r="C19" s="7">
        <f>IFERROR(IF($A19=C$13,1000000,SQRT(SUMXMY2($C7:$F7,INDEX($C$2:$F$11,C$13,0)))),1000000)</f>
        <v>65.3146231712317</v>
      </c>
      <c r="D19" s="7">
        <f>IFERROR(IF($A19=D$13,1000000,SQRT(SUMXMY2($C7:$F7,INDEX($C$2:$F$11,D$13,0)))),1000000)</f>
        <v>60.578461518926</v>
      </c>
      <c r="E19" s="7">
        <f>IFERROR(IF($A19=E$13,1000000,SQRT(SUMXMY2($C7:$F7,INDEX($C$2:$F$11,E$13,0)))),1000000)</f>
        <v>1000000</v>
      </c>
      <c r="F19" s="7">
        <f>IFERROR(IF($A19=F$13,1000000,SQRT(SUMXMY2($C7:$F7,INDEX($C$2:$F$11,F$13,0)))),1000000)</f>
        <v>1000000</v>
      </c>
      <c r="G19" s="7">
        <f>IFERROR(IF($A19=G$13,1000000,SQRT(SUMXMY2($C7:$F7,INDEX($C$2:$F$11,G$13,0)))),1000000)</f>
        <v>1000000</v>
      </c>
      <c r="H19" s="7">
        <f>IFERROR(IF($A19=H$13,1000000,SQRT(SUMXMY2($C7:$F7,INDEX($C$2:$F$11,H$13,0)))),1000000)</f>
        <v>138.416039532996</v>
      </c>
      <c r="I19" s="7">
        <f>IFERROR(IF($A19=I$13,1000000,SQRT(SUMXMY2($C7:$F7,INDEX($C$2:$F$11,I$13,0)))),1000000)</f>
        <v>1000000</v>
      </c>
      <c r="J19" s="7">
        <f>IFERROR(IF($A19=J$13,1000000,SQRT(SUMXMY2($C7:$F7,INDEX($C$2:$F$11,J$13,0)))),1000000)</f>
        <v>89.7217922246318</v>
      </c>
      <c r="K19" s="7">
        <f>IFERROR(IF($A19=K$13,1000000,SQRT(SUMXMY2($C7:$F7,INDEX($C$2:$F$11,K$13,0)))),1000000)</f>
        <v>45.8366665454634</v>
      </c>
      <c r="L19" s="9" t="e">
        <f t="shared" si="0"/>
        <v>#N/A</v>
      </c>
    </row>
    <row r="20" spans="1:12">
      <c r="A20" s="6">
        <v>7</v>
      </c>
      <c r="B20" s="7">
        <f>IFERROR(IF($A20=B$13,1000000,SQRT(SUMXMY2($C8:$F8,INDEX($C$2:$F$11,B$13,0)))),1000000)</f>
        <v>155.950490719188</v>
      </c>
      <c r="C20" s="7">
        <f>IFERROR(IF($A20=C$13,1000000,SQRT(SUMXMY2($C8:$F8,INDEX($C$2:$F$11,C$13,0)))),1000000)</f>
        <v>193.832401832098</v>
      </c>
      <c r="D20" s="7">
        <f>IFERROR(IF($A20=D$13,1000000,SQRT(SUMXMY2($C8:$F8,INDEX($C$2:$F$11,D$13,0)))),1000000)</f>
        <v>197.572138724062</v>
      </c>
      <c r="E20" s="7">
        <f>IFERROR(IF($A20=E$13,1000000,SQRT(SUMXMY2($C8:$F8,INDEX($C$2:$F$11,E$13,0)))),1000000)</f>
        <v>1000000</v>
      </c>
      <c r="F20" s="7">
        <f>IFERROR(IF($A20=F$13,1000000,SQRT(SUMXMY2($C8:$F8,INDEX($C$2:$F$11,F$13,0)))),1000000)</f>
        <v>1000000</v>
      </c>
      <c r="G20" s="7">
        <f>IFERROR(IF($A20=G$13,1000000,SQRT(SUMXMY2($C8:$F8,INDEX($C$2:$F$11,G$13,0)))),1000000)</f>
        <v>138.416039532996</v>
      </c>
      <c r="H20" s="7">
        <f>IFERROR(IF($A20=H$13,1000000,SQRT(SUMXMY2($C8:$F8,INDEX($C$2:$F$11,H$13,0)))),1000000)</f>
        <v>1000000</v>
      </c>
      <c r="I20" s="7">
        <f>IFERROR(IF($A20=I$13,1000000,SQRT(SUMXMY2($C8:$F8,INDEX($C$2:$F$11,I$13,0)))),1000000)</f>
        <v>1000000</v>
      </c>
      <c r="J20" s="7">
        <f>IFERROR(IF($A20=J$13,1000000,SQRT(SUMXMY2($C8:$F8,INDEX($C$2:$F$11,J$13,0)))),1000000)</f>
        <v>225.554871372799</v>
      </c>
      <c r="K20" s="7">
        <f>IFERROR(IF($A20=K$13,1000000,SQRT(SUMXMY2($C8:$F8,INDEX($C$2:$F$11,K$13,0)))),1000000)</f>
        <v>106.037729134493</v>
      </c>
      <c r="L20" s="9" t="e">
        <f t="shared" si="0"/>
        <v>#N/A</v>
      </c>
    </row>
    <row r="21" spans="1:12">
      <c r="A21" s="6">
        <v>8</v>
      </c>
      <c r="B21" s="7">
        <f>IFERROR(IF($A21=B$13,1000000,SQRT(SUMXMY2($C9:$F9,INDEX($C$2:$F$11,B$13,0)))),1000000)</f>
        <v>1000000</v>
      </c>
      <c r="C21" s="7">
        <f>IFERROR(IF($A21=C$13,1000000,SQRT(SUMXMY2($C9:$F9,INDEX($C$2:$F$11,C$13,0)))),1000000)</f>
        <v>1000000</v>
      </c>
      <c r="D21" s="7">
        <f>IFERROR(IF($A21=D$13,1000000,SQRT(SUMXMY2($C9:$F9,INDEX($C$2:$F$11,D$13,0)))),1000000)</f>
        <v>1000000</v>
      </c>
      <c r="E21" s="7">
        <f>IFERROR(IF($A21=E$13,1000000,SQRT(SUMXMY2($C9:$F9,INDEX($C$2:$F$11,E$13,0)))),1000000)</f>
        <v>1000000</v>
      </c>
      <c r="F21" s="7">
        <f>IFERROR(IF($A21=F$13,1000000,SQRT(SUMXMY2($C9:$F9,INDEX($C$2:$F$11,F$13,0)))),1000000)</f>
        <v>1000000</v>
      </c>
      <c r="G21" s="7">
        <f>IFERROR(IF($A21=G$13,1000000,SQRT(SUMXMY2($C9:$F9,INDEX($C$2:$F$11,G$13,0)))),1000000)</f>
        <v>1000000</v>
      </c>
      <c r="H21" s="7">
        <f>IFERROR(IF($A21=H$13,1000000,SQRT(SUMXMY2($C9:$F9,INDEX($C$2:$F$11,H$13,0)))),1000000)</f>
        <v>1000000</v>
      </c>
      <c r="I21" s="7">
        <f>IFERROR(IF($A21=I$13,1000000,SQRT(SUMXMY2($C9:$F9,INDEX($C$2:$F$11,I$13,0)))),1000000)</f>
        <v>1000000</v>
      </c>
      <c r="J21" s="7">
        <f>IFERROR(IF($A21=J$13,1000000,SQRT(SUMXMY2($C9:$F9,INDEX($C$2:$F$11,J$13,0)))),1000000)</f>
        <v>1000000</v>
      </c>
      <c r="K21" s="7">
        <f>IFERROR(IF($A21=K$13,1000000,SQRT(SUMXMY2($C9:$F9,INDEX($C$2:$F$11,K$13,0)))),1000000)</f>
        <v>1000000</v>
      </c>
      <c r="L21" s="9" t="e">
        <f t="shared" si="0"/>
        <v>#N/A</v>
      </c>
    </row>
    <row r="22" spans="1:12">
      <c r="A22" s="6">
        <v>9</v>
      </c>
      <c r="B22" s="7">
        <f>IFERROR(IF($A22=B$13,1000000,SQRT(SUMXMY2($C10:$F10,INDEX($C$2:$F$11,B$13,0)))),1000000)</f>
        <v>72.9352833377344</v>
      </c>
      <c r="C22" s="7">
        <f>IFERROR(IF($A22=C$13,1000000,SQRT(SUMXMY2($C10:$F10,INDEX($C$2:$F$11,C$13,0)))),1000000)</f>
        <v>52.4785670536077</v>
      </c>
      <c r="D22" s="7">
        <f>IFERROR(IF($A22=D$13,1000000,SQRT(SUMXMY2($C10:$F10,INDEX($C$2:$F$11,D$13,0)))),1000000)</f>
        <v>29.9958330439413</v>
      </c>
      <c r="E22" s="7">
        <f>IFERROR(IF($A22=E$13,1000000,SQRT(SUMXMY2($C10:$F10,INDEX($C$2:$F$11,E$13,0)))),1000000)</f>
        <v>1000000</v>
      </c>
      <c r="F22" s="7">
        <f>IFERROR(IF($A22=F$13,1000000,SQRT(SUMXMY2($C10:$F10,INDEX($C$2:$F$11,F$13,0)))),1000000)</f>
        <v>1000000</v>
      </c>
      <c r="G22" s="7">
        <f>IFERROR(IF($A22=G$13,1000000,SQRT(SUMXMY2($C10:$F10,INDEX($C$2:$F$11,G$13,0)))),1000000)</f>
        <v>89.7217922246318</v>
      </c>
      <c r="H22" s="7">
        <f>IFERROR(IF($A22=H$13,1000000,SQRT(SUMXMY2($C10:$F10,INDEX($C$2:$F$11,H$13,0)))),1000000)</f>
        <v>225.554871372799</v>
      </c>
      <c r="I22" s="7">
        <f>IFERROR(IF($A22=I$13,1000000,SQRT(SUMXMY2($C10:$F10,INDEX($C$2:$F$11,I$13,0)))),1000000)</f>
        <v>1000000</v>
      </c>
      <c r="J22" s="7">
        <f>IFERROR(IF($A22=J$13,1000000,SQRT(SUMXMY2($C10:$F10,INDEX($C$2:$F$11,J$13,0)))),1000000)</f>
        <v>1000000</v>
      </c>
      <c r="K22" s="7">
        <f>IFERROR(IF($A22=K$13,1000000,SQRT(SUMXMY2($C10:$F10,INDEX($C$2:$F$11,K$13,0)))),1000000)</f>
        <v>125.111949868907</v>
      </c>
      <c r="L22" s="9">
        <f t="shared" si="0"/>
        <v>3</v>
      </c>
    </row>
    <row r="23" spans="1:12">
      <c r="A23" s="6">
        <v>10</v>
      </c>
      <c r="B23" s="7">
        <f>IFERROR(IF($A23=B$13,1000000,SQRT(SUMXMY2($C11:$F11,INDEX($C$2:$F$11,B$13,0)))),1000000)</f>
        <v>54.3926057066171</v>
      </c>
      <c r="C23" s="7">
        <f>IFERROR(IF($A23=C$13,1000000,SQRT(SUMXMY2($C11:$F11,INDEX($C$2:$F$11,C$13,0)))),1000000)</f>
        <v>89.0224690738243</v>
      </c>
      <c r="D23" s="7">
        <f>IFERROR(IF($A23=D$13,1000000,SQRT(SUMXMY2($C11:$F11,INDEX($C$2:$F$11,D$13,0)))),1000000)</f>
        <v>99.2055946003047</v>
      </c>
      <c r="E23" s="7">
        <f>IFERROR(IF($A23=E$13,1000000,SQRT(SUMXMY2($C11:$F11,INDEX($C$2:$F$11,E$13,0)))),1000000)</f>
        <v>1000000</v>
      </c>
      <c r="F23" s="7">
        <f>IFERROR(IF($A23=F$13,1000000,SQRT(SUMXMY2($C11:$F11,INDEX($C$2:$F$11,F$13,0)))),1000000)</f>
        <v>1000000</v>
      </c>
      <c r="G23" s="7">
        <f>IFERROR(IF($A23=G$13,1000000,SQRT(SUMXMY2($C11:$F11,INDEX($C$2:$F$11,G$13,0)))),1000000)</f>
        <v>45.8366665454634</v>
      </c>
      <c r="H23" s="7">
        <f>IFERROR(IF($A23=H$13,1000000,SQRT(SUMXMY2($C11:$F11,INDEX($C$2:$F$11,H$13,0)))),1000000)</f>
        <v>106.037729134493</v>
      </c>
      <c r="I23" s="7">
        <f>IFERROR(IF($A23=I$13,1000000,SQRT(SUMXMY2($C11:$F11,INDEX($C$2:$F$11,I$13,0)))),1000000)</f>
        <v>1000000</v>
      </c>
      <c r="J23" s="7">
        <f>IFERROR(IF($A23=J$13,1000000,SQRT(SUMXMY2($C11:$F11,INDEX($C$2:$F$11,J$13,0)))),1000000)</f>
        <v>125.111949868907</v>
      </c>
      <c r="K23" s="7">
        <f>IFERROR(IF($A23=K$13,1000000,SQRT(SUMXMY2($C11:$F11,INDEX($C$2:$F$11,K$13,0)))),1000000)</f>
        <v>1000000</v>
      </c>
      <c r="L23" s="9" t="e">
        <f t="shared" si="0"/>
        <v>#N/A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workbookViewId="0">
      <selection activeCell="H39" sqref="H39"/>
    </sheetView>
  </sheetViews>
  <sheetFormatPr defaultColWidth="9" defaultRowHeight="15"/>
  <cols>
    <col min="1" max="1" width="9" style="1"/>
    <col min="2" max="5" width="12.8571428571429" style="1"/>
    <col min="6" max="6" width="9" style="1"/>
    <col min="7" max="8" width="12.8571428571429" style="1"/>
    <col min="9" max="10" width="9" style="1"/>
    <col min="11" max="11" width="12.8571428571429" style="1"/>
    <col min="12" max="16384" width="9" style="1"/>
  </cols>
  <sheetData>
    <row r="1" spans="1:1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2">
      <c r="A2" s="4">
        <v>1</v>
      </c>
      <c r="B2" s="1" t="s">
        <v>16</v>
      </c>
      <c r="C2" s="1">
        <v>7.25</v>
      </c>
      <c r="D2" s="1">
        <v>184.5</v>
      </c>
      <c r="E2" s="1">
        <v>62.25</v>
      </c>
      <c r="F2" s="1">
        <v>22.5</v>
      </c>
      <c r="G2" s="1">
        <v>11</v>
      </c>
      <c r="H2" s="1">
        <v>1</v>
      </c>
      <c r="I2" s="1">
        <v>1</v>
      </c>
      <c r="J2" s="8">
        <v>1</v>
      </c>
      <c r="K2" s="10">
        <v>1</v>
      </c>
      <c r="L2" s="8"/>
    </row>
    <row r="3" spans="1:12">
      <c r="A3" s="4">
        <v>2</v>
      </c>
      <c r="B3" s="1" t="s">
        <v>24</v>
      </c>
      <c r="C3" s="1">
        <v>9</v>
      </c>
      <c r="D3" s="1">
        <v>222</v>
      </c>
      <c r="E3" s="1">
        <v>39</v>
      </c>
      <c r="F3" s="1">
        <v>42</v>
      </c>
      <c r="G3" s="1">
        <v>12</v>
      </c>
      <c r="H3" s="1">
        <v>12</v>
      </c>
      <c r="I3" s="1">
        <v>12</v>
      </c>
      <c r="J3" s="8">
        <v>12</v>
      </c>
      <c r="K3" s="10">
        <v>12</v>
      </c>
      <c r="L3" s="8"/>
    </row>
    <row r="4" spans="1:12">
      <c r="A4" s="4">
        <v>3</v>
      </c>
      <c r="B4" s="1" t="s">
        <v>21</v>
      </c>
      <c r="C4" s="1">
        <v>8.66666666666667</v>
      </c>
      <c r="D4" s="1">
        <v>240</v>
      </c>
      <c r="E4" s="1">
        <v>77.3333333333333</v>
      </c>
      <c r="F4" s="1">
        <v>33</v>
      </c>
      <c r="G4" s="1">
        <v>13</v>
      </c>
      <c r="H4" s="1">
        <v>13</v>
      </c>
      <c r="I4" s="1">
        <v>2</v>
      </c>
      <c r="J4" s="8">
        <v>2</v>
      </c>
      <c r="K4" s="10">
        <v>2</v>
      </c>
      <c r="L4" s="8"/>
    </row>
    <row r="5" spans="1:12">
      <c r="A5" s="4">
        <v>4</v>
      </c>
      <c r="B5" s="1" t="s">
        <v>17</v>
      </c>
      <c r="G5" s="1">
        <v>14</v>
      </c>
      <c r="H5" s="1">
        <v>1</v>
      </c>
      <c r="I5" s="1">
        <v>1</v>
      </c>
      <c r="J5" s="8">
        <v>1</v>
      </c>
      <c r="K5" s="10">
        <v>1</v>
      </c>
      <c r="L5" s="8"/>
    </row>
    <row r="6" spans="1:12">
      <c r="A6" s="4">
        <v>5</v>
      </c>
      <c r="B6" s="1" t="s">
        <v>22</v>
      </c>
      <c r="G6" s="1">
        <v>15</v>
      </c>
      <c r="H6" s="1">
        <v>15</v>
      </c>
      <c r="I6" s="1">
        <v>2</v>
      </c>
      <c r="J6" s="8">
        <v>2</v>
      </c>
      <c r="K6" s="10">
        <v>2</v>
      </c>
      <c r="L6" s="8"/>
    </row>
    <row r="7" spans="1:12">
      <c r="A7" s="4">
        <v>6</v>
      </c>
      <c r="B7" s="1" t="s">
        <v>19</v>
      </c>
      <c r="C7" s="1">
        <v>5</v>
      </c>
      <c r="D7" s="1">
        <v>170</v>
      </c>
      <c r="E7" s="1">
        <v>78</v>
      </c>
      <c r="F7" s="1">
        <v>37</v>
      </c>
      <c r="G7" s="1">
        <v>16</v>
      </c>
      <c r="H7" s="1">
        <v>16</v>
      </c>
      <c r="I7" s="1">
        <v>16</v>
      </c>
      <c r="J7" s="8">
        <v>16</v>
      </c>
      <c r="K7" s="10">
        <v>16</v>
      </c>
      <c r="L7" s="8"/>
    </row>
    <row r="8" spans="1:12">
      <c r="A8" s="4">
        <v>7</v>
      </c>
      <c r="B8" s="1" t="s">
        <v>25</v>
      </c>
      <c r="C8" s="1">
        <v>0</v>
      </c>
      <c r="D8" s="1">
        <v>35</v>
      </c>
      <c r="E8" s="1">
        <v>75</v>
      </c>
      <c r="F8" s="1">
        <v>7</v>
      </c>
      <c r="G8" s="1">
        <v>17</v>
      </c>
      <c r="H8" s="1">
        <v>17</v>
      </c>
      <c r="I8" s="1">
        <v>17</v>
      </c>
      <c r="J8" s="8">
        <v>17</v>
      </c>
      <c r="K8" s="10">
        <v>17</v>
      </c>
      <c r="L8" s="8"/>
    </row>
    <row r="9" spans="1:12">
      <c r="A9" s="4">
        <v>8</v>
      </c>
      <c r="B9" s="1" t="s">
        <v>18</v>
      </c>
      <c r="G9" s="1">
        <v>18</v>
      </c>
      <c r="H9" s="1">
        <v>18</v>
      </c>
      <c r="I9" s="1">
        <v>18</v>
      </c>
      <c r="J9" s="8">
        <v>1</v>
      </c>
      <c r="K9" s="10">
        <v>1</v>
      </c>
      <c r="L9" s="8"/>
    </row>
    <row r="10" spans="1:12">
      <c r="A10" s="4">
        <v>9</v>
      </c>
      <c r="B10" s="1" t="s">
        <v>23</v>
      </c>
      <c r="G10" s="1">
        <v>19</v>
      </c>
      <c r="H10" s="1">
        <v>19</v>
      </c>
      <c r="I10" s="1">
        <v>19</v>
      </c>
      <c r="J10" s="8">
        <v>19</v>
      </c>
      <c r="K10" s="10">
        <v>2</v>
      </c>
      <c r="L10" s="8"/>
    </row>
    <row r="11" spans="1:12">
      <c r="A11" s="5">
        <v>10</v>
      </c>
      <c r="B11" s="1" t="s">
        <v>20</v>
      </c>
      <c r="C11" s="1">
        <v>15</v>
      </c>
      <c r="D11" s="1">
        <v>136</v>
      </c>
      <c r="E11" s="1">
        <v>52</v>
      </c>
      <c r="F11" s="1">
        <v>24</v>
      </c>
      <c r="G11" s="1">
        <v>20</v>
      </c>
      <c r="H11" s="1">
        <v>20</v>
      </c>
      <c r="I11" s="1">
        <v>20</v>
      </c>
      <c r="J11" s="8">
        <v>20</v>
      </c>
      <c r="K11" s="10">
        <v>20</v>
      </c>
      <c r="L11" s="8"/>
    </row>
    <row r="13" spans="2:11"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</row>
    <row r="14" spans="1:17">
      <c r="A14" s="6">
        <v>1</v>
      </c>
      <c r="B14" s="7">
        <f>IFERROR(IF($A14=B$13,1000000,SQRT(SUMXMY2($C2:$F2,INDEX($C$2:$F$11,B$13,0)))),1000000)</f>
        <v>1000000</v>
      </c>
      <c r="C14" s="7">
        <f>IFERROR(IF($A14=C$13,1000000,SQRT(SUMXMY2($C2:$F2,INDEX($C$2:$F$11,C$13,0)))),1000000)</f>
        <v>48.2713683253334</v>
      </c>
      <c r="D14" s="7">
        <f>IFERROR(IF($A14=D$13,1000000,SQRT(SUMXMY2($C2:$F2,INDEX($C$2:$F$11,D$13,0)))),1000000)</f>
        <v>58.4808848162277</v>
      </c>
      <c r="E14" s="7">
        <f>IFERROR(IF($A14=E$13,1000000,SQRT(SUMXMY2($C2:$F2,INDEX($C$2:$F$11,E$13,0)))),1000000)</f>
        <v>1000000</v>
      </c>
      <c r="F14" s="7">
        <f>IFERROR(IF($A14=F$13,1000000,SQRT(SUMXMY2($C2:$F2,INDEX($C$2:$F$11,F$13,0)))),1000000)</f>
        <v>1000000</v>
      </c>
      <c r="G14" s="7">
        <f>IFERROR(IF($A14=G$13,1000000,SQRT(SUMXMY2($C2:$F2,INDEX($C$2:$F$11,G$13,0)))),1000000)</f>
        <v>25.9542867364911</v>
      </c>
      <c r="H14" s="7">
        <f>IFERROR(IF($A14=H$13,1000000,SQRT(SUMXMY2($C2:$F2,INDEX($C$2:$F$11,H$13,0)))),1000000)</f>
        <v>151.015313793006</v>
      </c>
      <c r="I14" s="7">
        <f>IFERROR(IF($A14=I$13,1000000,SQRT(SUMXMY2($C2:$F2,INDEX($C$2:$F$11,I$13,0)))),1000000)</f>
        <v>1000000</v>
      </c>
      <c r="J14" s="7">
        <f>IFERROR(IF($A14=J$13,1000000,SQRT(SUMXMY2($C2:$F2,INDEX($C$2:$F$11,J$13,0)))),1000000)</f>
        <v>1000000</v>
      </c>
      <c r="K14" s="7">
        <f>IFERROR(IF($A14=K$13,1000000,SQRT(SUMXMY2($C2:$F2,INDEX($C$2:$F$11,K$13,0)))),1000000)</f>
        <v>50.1958663636758</v>
      </c>
      <c r="L14" s="9">
        <f t="shared" ref="L14:L23" si="0">MATCH(MIN($B$14:$K$23),B14:K14,0)</f>
        <v>6</v>
      </c>
      <c r="N14" s="9">
        <f t="shared" ref="N14:Q14" si="1">SUM(C2*3,C7)/4</f>
        <v>6.6875</v>
      </c>
      <c r="O14" s="9">
        <f t="shared" si="1"/>
        <v>180.875</v>
      </c>
      <c r="P14" s="9">
        <f t="shared" si="1"/>
        <v>66.1875</v>
      </c>
      <c r="Q14" s="9">
        <f t="shared" si="1"/>
        <v>26.125</v>
      </c>
    </row>
    <row r="15" spans="1:17">
      <c r="A15" s="6">
        <v>2</v>
      </c>
      <c r="B15" s="7">
        <f>IFERROR(IF($A15=B$13,1000000,SQRT(SUMXMY2($C3:$F3,INDEX($C$2:$F$11,B$13,0)))),1000000)</f>
        <v>48.2713683253334</v>
      </c>
      <c r="C15" s="7">
        <f>IFERROR(IF($A15=C$13,1000000,SQRT(SUMXMY2($C3:$F3,INDEX($C$2:$F$11,C$13,0)))),1000000)</f>
        <v>1000000</v>
      </c>
      <c r="D15" s="7">
        <f>IFERROR(IF($A15=D$13,1000000,SQRT(SUMXMY2($C3:$F3,INDEX($C$2:$F$11,D$13,0)))),1000000)</f>
        <v>43.2961378826744</v>
      </c>
      <c r="E15" s="7">
        <f>IFERROR(IF($A15=E$13,1000000,SQRT(SUMXMY2($C3:$F3,INDEX($C$2:$F$11,E$13,0)))),1000000)</f>
        <v>1000000</v>
      </c>
      <c r="F15" s="7">
        <f>IFERROR(IF($A15=F$13,1000000,SQRT(SUMXMY2($C3:$F3,INDEX($C$2:$F$11,F$13,0)))),1000000)</f>
        <v>1000000</v>
      </c>
      <c r="G15" s="7">
        <f>IFERROR(IF($A15=G$13,1000000,SQRT(SUMXMY2($C3:$F3,INDEX($C$2:$F$11,G$13,0)))),1000000)</f>
        <v>65.3146231712317</v>
      </c>
      <c r="H15" s="7">
        <f>IFERROR(IF($A15=H$13,1000000,SQRT(SUMXMY2($C3:$F3,INDEX($C$2:$F$11,H$13,0)))),1000000)</f>
        <v>193.832401832098</v>
      </c>
      <c r="I15" s="7">
        <f>IFERROR(IF($A15=I$13,1000000,SQRT(SUMXMY2($C3:$F3,INDEX($C$2:$F$11,I$13,0)))),1000000)</f>
        <v>1000000</v>
      </c>
      <c r="J15" s="7">
        <f>IFERROR(IF($A15=J$13,1000000,SQRT(SUMXMY2($C3:$F3,INDEX($C$2:$F$11,J$13,0)))),1000000)</f>
        <v>1000000</v>
      </c>
      <c r="K15" s="7">
        <f>IFERROR(IF($A15=K$13,1000000,SQRT(SUMXMY2($C3:$F3,INDEX($C$2:$F$11,K$13,0)))),1000000)</f>
        <v>89.0224690738243</v>
      </c>
      <c r="L15" s="9" t="e">
        <f t="shared" si="0"/>
        <v>#N/A</v>
      </c>
      <c r="N15" s="1">
        <v>7.25</v>
      </c>
      <c r="O15" s="1">
        <v>184.5</v>
      </c>
      <c r="P15" s="1">
        <v>62.25</v>
      </c>
      <c r="Q15" s="1">
        <v>22.5</v>
      </c>
    </row>
    <row r="16" spans="1:12">
      <c r="A16" s="6">
        <v>3</v>
      </c>
      <c r="B16" s="7">
        <f>IFERROR(IF($A16=B$13,1000000,SQRT(SUMXMY2($C4:$F4,INDEX($C$2:$F$11,B$13,0)))),1000000)</f>
        <v>58.4808848162277</v>
      </c>
      <c r="C16" s="7">
        <f>IFERROR(IF($A16=C$13,1000000,SQRT(SUMXMY2($C4:$F4,INDEX($C$2:$F$11,C$13,0)))),1000000)</f>
        <v>43.2961378826744</v>
      </c>
      <c r="D16" s="7">
        <f>IFERROR(IF($A16=D$13,1000000,SQRT(SUMXMY2($C4:$F4,INDEX($C$2:$F$11,D$13,0)))),1000000)</f>
        <v>1000000</v>
      </c>
      <c r="E16" s="7">
        <f>IFERROR(IF($A16=E$13,1000000,SQRT(SUMXMY2($C4:$F4,INDEX($C$2:$F$11,E$13,0)))),1000000)</f>
        <v>1000000</v>
      </c>
      <c r="F16" s="7">
        <f>IFERROR(IF($A16=F$13,1000000,SQRT(SUMXMY2($C4:$F4,INDEX($C$2:$F$11,F$13,0)))),1000000)</f>
        <v>1000000</v>
      </c>
      <c r="G16" s="7">
        <f>IFERROR(IF($A16=G$13,1000000,SQRT(SUMXMY2($C4:$F4,INDEX($C$2:$F$11,G$13,0)))),1000000)</f>
        <v>70.2131674893598</v>
      </c>
      <c r="H16" s="7">
        <f>IFERROR(IF($A16=H$13,1000000,SQRT(SUMXMY2($C4:$F4,INDEX($C$2:$F$11,H$13,0)))),1000000)</f>
        <v>206.837026558485</v>
      </c>
      <c r="I16" s="7">
        <f>IFERROR(IF($A16=I$13,1000000,SQRT(SUMXMY2($C4:$F4,INDEX($C$2:$F$11,I$13,0)))),1000000)</f>
        <v>1000000</v>
      </c>
      <c r="J16" s="7">
        <f>IFERROR(IF($A16=J$13,1000000,SQRT(SUMXMY2($C4:$F4,INDEX($C$2:$F$11,J$13,0)))),1000000)</f>
        <v>1000000</v>
      </c>
      <c r="K16" s="7">
        <f>IFERROR(IF($A16=K$13,1000000,SQRT(SUMXMY2($C4:$F4,INDEX($C$2:$F$11,K$13,0)))),1000000)</f>
        <v>107.605245638346</v>
      </c>
      <c r="L16" s="9" t="e">
        <f t="shared" si="0"/>
        <v>#N/A</v>
      </c>
    </row>
    <row r="17" spans="1:12">
      <c r="A17" s="6">
        <v>4</v>
      </c>
      <c r="B17" s="7">
        <f>IFERROR(IF($A17=B$13,1000000,SQRT(SUMXMY2($C5:$F5,INDEX($C$2:$F$11,B$13,0)))),1000000)</f>
        <v>1000000</v>
      </c>
      <c r="C17" s="7">
        <f>IFERROR(IF($A17=C$13,1000000,SQRT(SUMXMY2($C5:$F5,INDEX($C$2:$F$11,C$13,0)))),1000000)</f>
        <v>1000000</v>
      </c>
      <c r="D17" s="7">
        <f>IFERROR(IF($A17=D$13,1000000,SQRT(SUMXMY2($C5:$F5,INDEX($C$2:$F$11,D$13,0)))),1000000)</f>
        <v>1000000</v>
      </c>
      <c r="E17" s="7">
        <f>IFERROR(IF($A17=E$13,1000000,SQRT(SUMXMY2($C5:$F5,INDEX($C$2:$F$11,E$13,0)))),1000000)</f>
        <v>1000000</v>
      </c>
      <c r="F17" s="7">
        <f>IFERROR(IF($A17=F$13,1000000,SQRT(SUMXMY2($C5:$F5,INDEX($C$2:$F$11,F$13,0)))),1000000)</f>
        <v>1000000</v>
      </c>
      <c r="G17" s="7">
        <f>IFERROR(IF($A17=G$13,1000000,SQRT(SUMXMY2($C5:$F5,INDEX($C$2:$F$11,G$13,0)))),1000000)</f>
        <v>1000000</v>
      </c>
      <c r="H17" s="7">
        <f>IFERROR(IF($A17=H$13,1000000,SQRT(SUMXMY2($C5:$F5,INDEX($C$2:$F$11,H$13,0)))),1000000)</f>
        <v>1000000</v>
      </c>
      <c r="I17" s="7">
        <f>IFERROR(IF($A17=I$13,1000000,SQRT(SUMXMY2($C5:$F5,INDEX($C$2:$F$11,I$13,0)))),1000000)</f>
        <v>1000000</v>
      </c>
      <c r="J17" s="7">
        <f>IFERROR(IF($A17=J$13,1000000,SQRT(SUMXMY2($C5:$F5,INDEX($C$2:$F$11,J$13,0)))),1000000)</f>
        <v>1000000</v>
      </c>
      <c r="K17" s="7">
        <f>IFERROR(IF($A17=K$13,1000000,SQRT(SUMXMY2($C5:$F5,INDEX($C$2:$F$11,K$13,0)))),1000000)</f>
        <v>1000000</v>
      </c>
      <c r="L17" s="9" t="e">
        <f t="shared" si="0"/>
        <v>#N/A</v>
      </c>
    </row>
    <row r="18" spans="1:12">
      <c r="A18" s="6">
        <v>5</v>
      </c>
      <c r="B18" s="7">
        <f>IFERROR(IF($A18=B$13,1000000,SQRT(SUMXMY2($C6:$F6,INDEX($C$2:$F$11,B$13,0)))),1000000)</f>
        <v>1000000</v>
      </c>
      <c r="C18" s="7">
        <f>IFERROR(IF($A18=C$13,1000000,SQRT(SUMXMY2($C6:$F6,INDEX($C$2:$F$11,C$13,0)))),1000000)</f>
        <v>1000000</v>
      </c>
      <c r="D18" s="7">
        <f>IFERROR(IF($A18=D$13,1000000,SQRT(SUMXMY2($C6:$F6,INDEX($C$2:$F$11,D$13,0)))),1000000)</f>
        <v>1000000</v>
      </c>
      <c r="E18" s="7">
        <f>IFERROR(IF($A18=E$13,1000000,SQRT(SUMXMY2($C6:$F6,INDEX($C$2:$F$11,E$13,0)))),1000000)</f>
        <v>1000000</v>
      </c>
      <c r="F18" s="7">
        <f>IFERROR(IF($A18=F$13,1000000,SQRT(SUMXMY2($C6:$F6,INDEX($C$2:$F$11,F$13,0)))),1000000)</f>
        <v>1000000</v>
      </c>
      <c r="G18" s="7">
        <f>IFERROR(IF($A18=G$13,1000000,SQRT(SUMXMY2($C6:$F6,INDEX($C$2:$F$11,G$13,0)))),1000000)</f>
        <v>1000000</v>
      </c>
      <c r="H18" s="7">
        <f>IFERROR(IF($A18=H$13,1000000,SQRT(SUMXMY2($C6:$F6,INDEX($C$2:$F$11,H$13,0)))),1000000)</f>
        <v>1000000</v>
      </c>
      <c r="I18" s="7">
        <f>IFERROR(IF($A18=I$13,1000000,SQRT(SUMXMY2($C6:$F6,INDEX($C$2:$F$11,I$13,0)))),1000000)</f>
        <v>1000000</v>
      </c>
      <c r="J18" s="7">
        <f>IFERROR(IF($A18=J$13,1000000,SQRT(SUMXMY2($C6:$F6,INDEX($C$2:$F$11,J$13,0)))),1000000)</f>
        <v>1000000</v>
      </c>
      <c r="K18" s="7">
        <f>IFERROR(IF($A18=K$13,1000000,SQRT(SUMXMY2($C6:$F6,INDEX($C$2:$F$11,K$13,0)))),1000000)</f>
        <v>1000000</v>
      </c>
      <c r="L18" s="9" t="e">
        <f t="shared" si="0"/>
        <v>#N/A</v>
      </c>
    </row>
    <row r="19" spans="1:12">
      <c r="A19" s="6">
        <v>6</v>
      </c>
      <c r="B19" s="7">
        <f>IFERROR(IF($A19=B$13,1000000,SQRT(SUMXMY2($C7:$F7,INDEX($C$2:$F$11,B$13,0)))),1000000)</f>
        <v>25.9542867364911</v>
      </c>
      <c r="C19" s="7">
        <f>IFERROR(IF($A19=C$13,1000000,SQRT(SUMXMY2($C7:$F7,INDEX($C$2:$F$11,C$13,0)))),1000000)</f>
        <v>65.3146231712317</v>
      </c>
      <c r="D19" s="7">
        <f>IFERROR(IF($A19=D$13,1000000,SQRT(SUMXMY2($C7:$F7,INDEX($C$2:$F$11,D$13,0)))),1000000)</f>
        <v>70.2131674893598</v>
      </c>
      <c r="E19" s="7">
        <f>IFERROR(IF($A19=E$13,1000000,SQRT(SUMXMY2($C7:$F7,INDEX($C$2:$F$11,E$13,0)))),1000000)</f>
        <v>1000000</v>
      </c>
      <c r="F19" s="7">
        <f>IFERROR(IF($A19=F$13,1000000,SQRT(SUMXMY2($C7:$F7,INDEX($C$2:$F$11,F$13,0)))),1000000)</f>
        <v>1000000</v>
      </c>
      <c r="G19" s="7">
        <f>IFERROR(IF($A19=G$13,1000000,SQRT(SUMXMY2($C7:$F7,INDEX($C$2:$F$11,G$13,0)))),1000000)</f>
        <v>1000000</v>
      </c>
      <c r="H19" s="7">
        <f>IFERROR(IF($A19=H$13,1000000,SQRT(SUMXMY2($C7:$F7,INDEX($C$2:$F$11,H$13,0)))),1000000)</f>
        <v>138.416039532996</v>
      </c>
      <c r="I19" s="7">
        <f>IFERROR(IF($A19=I$13,1000000,SQRT(SUMXMY2($C7:$F7,INDEX($C$2:$F$11,I$13,0)))),1000000)</f>
        <v>1000000</v>
      </c>
      <c r="J19" s="7">
        <f>IFERROR(IF($A19=J$13,1000000,SQRT(SUMXMY2($C7:$F7,INDEX($C$2:$F$11,J$13,0)))),1000000)</f>
        <v>1000000</v>
      </c>
      <c r="K19" s="7">
        <f>IFERROR(IF($A19=K$13,1000000,SQRT(SUMXMY2($C7:$F7,INDEX($C$2:$F$11,K$13,0)))),1000000)</f>
        <v>45.8366665454634</v>
      </c>
      <c r="L19" s="9">
        <f t="shared" si="0"/>
        <v>1</v>
      </c>
    </row>
    <row r="20" spans="1:12">
      <c r="A20" s="6">
        <v>7</v>
      </c>
      <c r="B20" s="7">
        <f>IFERROR(IF($A20=B$13,1000000,SQRT(SUMXMY2($C8:$F8,INDEX($C$2:$F$11,B$13,0)))),1000000)</f>
        <v>151.015313793006</v>
      </c>
      <c r="C20" s="7">
        <f>IFERROR(IF($A20=C$13,1000000,SQRT(SUMXMY2($C8:$F8,INDEX($C$2:$F$11,C$13,0)))),1000000)</f>
        <v>193.832401832098</v>
      </c>
      <c r="D20" s="7">
        <f>IFERROR(IF($A20=D$13,1000000,SQRT(SUMXMY2($C8:$F8,INDEX($C$2:$F$11,D$13,0)))),1000000)</f>
        <v>206.837026558485</v>
      </c>
      <c r="E20" s="7">
        <f>IFERROR(IF($A20=E$13,1000000,SQRT(SUMXMY2($C8:$F8,INDEX($C$2:$F$11,E$13,0)))),1000000)</f>
        <v>1000000</v>
      </c>
      <c r="F20" s="7">
        <f>IFERROR(IF($A20=F$13,1000000,SQRT(SUMXMY2($C8:$F8,INDEX($C$2:$F$11,F$13,0)))),1000000)</f>
        <v>1000000</v>
      </c>
      <c r="G20" s="7">
        <f>IFERROR(IF($A20=G$13,1000000,SQRT(SUMXMY2($C8:$F8,INDEX($C$2:$F$11,G$13,0)))),1000000)</f>
        <v>138.416039532996</v>
      </c>
      <c r="H20" s="7">
        <f>IFERROR(IF($A20=H$13,1000000,SQRT(SUMXMY2($C8:$F8,INDEX($C$2:$F$11,H$13,0)))),1000000)</f>
        <v>1000000</v>
      </c>
      <c r="I20" s="7">
        <f>IFERROR(IF($A20=I$13,1000000,SQRT(SUMXMY2($C8:$F8,INDEX($C$2:$F$11,I$13,0)))),1000000)</f>
        <v>1000000</v>
      </c>
      <c r="J20" s="7">
        <f>IFERROR(IF($A20=J$13,1000000,SQRT(SUMXMY2($C8:$F8,INDEX($C$2:$F$11,J$13,0)))),1000000)</f>
        <v>1000000</v>
      </c>
      <c r="K20" s="7">
        <f>IFERROR(IF($A20=K$13,1000000,SQRT(SUMXMY2($C8:$F8,INDEX($C$2:$F$11,K$13,0)))),1000000)</f>
        <v>106.037729134493</v>
      </c>
      <c r="L20" s="9" t="e">
        <f t="shared" si="0"/>
        <v>#N/A</v>
      </c>
    </row>
    <row r="21" spans="1:12">
      <c r="A21" s="6">
        <v>8</v>
      </c>
      <c r="B21" s="7">
        <f>IFERROR(IF($A21=B$13,1000000,SQRT(SUMXMY2($C9:$F9,INDEX($C$2:$F$11,B$13,0)))),1000000)</f>
        <v>1000000</v>
      </c>
      <c r="C21" s="7">
        <f>IFERROR(IF($A21=C$13,1000000,SQRT(SUMXMY2($C9:$F9,INDEX($C$2:$F$11,C$13,0)))),1000000)</f>
        <v>1000000</v>
      </c>
      <c r="D21" s="7">
        <f>IFERROR(IF($A21=D$13,1000000,SQRT(SUMXMY2($C9:$F9,INDEX($C$2:$F$11,D$13,0)))),1000000)</f>
        <v>1000000</v>
      </c>
      <c r="E21" s="7">
        <f>IFERROR(IF($A21=E$13,1000000,SQRT(SUMXMY2($C9:$F9,INDEX($C$2:$F$11,E$13,0)))),1000000)</f>
        <v>1000000</v>
      </c>
      <c r="F21" s="7">
        <f>IFERROR(IF($A21=F$13,1000000,SQRT(SUMXMY2($C9:$F9,INDEX($C$2:$F$11,F$13,0)))),1000000)</f>
        <v>1000000</v>
      </c>
      <c r="G21" s="7">
        <f>IFERROR(IF($A21=G$13,1000000,SQRT(SUMXMY2($C9:$F9,INDEX($C$2:$F$11,G$13,0)))),1000000)</f>
        <v>1000000</v>
      </c>
      <c r="H21" s="7">
        <f>IFERROR(IF($A21=H$13,1000000,SQRT(SUMXMY2($C9:$F9,INDEX($C$2:$F$11,H$13,0)))),1000000)</f>
        <v>1000000</v>
      </c>
      <c r="I21" s="7">
        <f>IFERROR(IF($A21=I$13,1000000,SQRT(SUMXMY2($C9:$F9,INDEX($C$2:$F$11,I$13,0)))),1000000)</f>
        <v>1000000</v>
      </c>
      <c r="J21" s="7">
        <f>IFERROR(IF($A21=J$13,1000000,SQRT(SUMXMY2($C9:$F9,INDEX($C$2:$F$11,J$13,0)))),1000000)</f>
        <v>1000000</v>
      </c>
      <c r="K21" s="7">
        <f>IFERROR(IF($A21=K$13,1000000,SQRT(SUMXMY2($C9:$F9,INDEX($C$2:$F$11,K$13,0)))),1000000)</f>
        <v>1000000</v>
      </c>
      <c r="L21" s="9" t="e">
        <f t="shared" si="0"/>
        <v>#N/A</v>
      </c>
    </row>
    <row r="22" spans="1:12">
      <c r="A22" s="6">
        <v>9</v>
      </c>
      <c r="B22" s="7">
        <f>IFERROR(IF($A22=B$13,1000000,SQRT(SUMXMY2($C10:$F10,INDEX($C$2:$F$11,B$13,0)))),1000000)</f>
        <v>1000000</v>
      </c>
      <c r="C22" s="7">
        <f>IFERROR(IF($A22=C$13,1000000,SQRT(SUMXMY2($C10:$F10,INDEX($C$2:$F$11,C$13,0)))),1000000)</f>
        <v>1000000</v>
      </c>
      <c r="D22" s="7">
        <f>IFERROR(IF($A22=D$13,1000000,SQRT(SUMXMY2($C10:$F10,INDEX($C$2:$F$11,D$13,0)))),1000000)</f>
        <v>1000000</v>
      </c>
      <c r="E22" s="7">
        <f>IFERROR(IF($A22=E$13,1000000,SQRT(SUMXMY2($C10:$F10,INDEX($C$2:$F$11,E$13,0)))),1000000)</f>
        <v>1000000</v>
      </c>
      <c r="F22" s="7">
        <f>IFERROR(IF($A22=F$13,1000000,SQRT(SUMXMY2($C10:$F10,INDEX($C$2:$F$11,F$13,0)))),1000000)</f>
        <v>1000000</v>
      </c>
      <c r="G22" s="7">
        <f>IFERROR(IF($A22=G$13,1000000,SQRT(SUMXMY2($C10:$F10,INDEX($C$2:$F$11,G$13,0)))),1000000)</f>
        <v>1000000</v>
      </c>
      <c r="H22" s="7">
        <f>IFERROR(IF($A22=H$13,1000000,SQRT(SUMXMY2($C10:$F10,INDEX($C$2:$F$11,H$13,0)))),1000000)</f>
        <v>1000000</v>
      </c>
      <c r="I22" s="7">
        <f>IFERROR(IF($A22=I$13,1000000,SQRT(SUMXMY2($C10:$F10,INDEX($C$2:$F$11,I$13,0)))),1000000)</f>
        <v>1000000</v>
      </c>
      <c r="J22" s="7">
        <f>IFERROR(IF($A22=J$13,1000000,SQRT(SUMXMY2($C10:$F10,INDEX($C$2:$F$11,J$13,0)))),1000000)</f>
        <v>1000000</v>
      </c>
      <c r="K22" s="7">
        <f>IFERROR(IF($A22=K$13,1000000,SQRT(SUMXMY2($C10:$F10,INDEX($C$2:$F$11,K$13,0)))),1000000)</f>
        <v>1000000</v>
      </c>
      <c r="L22" s="9" t="e">
        <f t="shared" si="0"/>
        <v>#N/A</v>
      </c>
    </row>
    <row r="23" spans="1:12">
      <c r="A23" s="6">
        <v>10</v>
      </c>
      <c r="B23" s="7">
        <f>IFERROR(IF($A23=B$13,1000000,SQRT(SUMXMY2($C11:$F11,INDEX($C$2:$F$11,B$13,0)))),1000000)</f>
        <v>50.1958663636758</v>
      </c>
      <c r="C23" s="7">
        <f>IFERROR(IF($A23=C$13,1000000,SQRT(SUMXMY2($C11:$F11,INDEX($C$2:$F$11,C$13,0)))),1000000)</f>
        <v>89.0224690738243</v>
      </c>
      <c r="D23" s="7">
        <f>IFERROR(IF($A23=D$13,1000000,SQRT(SUMXMY2($C11:$F11,INDEX($C$2:$F$11,D$13,0)))),1000000)</f>
        <v>107.605245638346</v>
      </c>
      <c r="E23" s="7">
        <f>IFERROR(IF($A23=E$13,1000000,SQRT(SUMXMY2($C11:$F11,INDEX($C$2:$F$11,E$13,0)))),1000000)</f>
        <v>1000000</v>
      </c>
      <c r="F23" s="7">
        <f>IFERROR(IF($A23=F$13,1000000,SQRT(SUMXMY2($C11:$F11,INDEX($C$2:$F$11,F$13,0)))),1000000)</f>
        <v>1000000</v>
      </c>
      <c r="G23" s="7">
        <f>IFERROR(IF($A23=G$13,1000000,SQRT(SUMXMY2($C11:$F11,INDEX($C$2:$F$11,G$13,0)))),1000000)</f>
        <v>45.8366665454634</v>
      </c>
      <c r="H23" s="7">
        <f>IFERROR(IF($A23=H$13,1000000,SQRT(SUMXMY2($C11:$F11,INDEX($C$2:$F$11,H$13,0)))),1000000)</f>
        <v>106.037729134493</v>
      </c>
      <c r="I23" s="7">
        <f>IFERROR(IF($A23=I$13,1000000,SQRT(SUMXMY2($C11:$F11,INDEX($C$2:$F$11,I$13,0)))),1000000)</f>
        <v>1000000</v>
      </c>
      <c r="J23" s="7">
        <f>IFERROR(IF($A23=J$13,1000000,SQRT(SUMXMY2($C11:$F11,INDEX($C$2:$F$11,J$13,0)))),1000000)</f>
        <v>1000000</v>
      </c>
      <c r="K23" s="7">
        <f>IFERROR(IF($A23=K$13,1000000,SQRT(SUMXMY2($C11:$F11,INDEX($C$2:$F$11,K$13,0)))),1000000)</f>
        <v>1000000</v>
      </c>
      <c r="L23" s="9" t="e">
        <f t="shared" si="0"/>
        <v>#N/A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workbookViewId="0">
      <selection activeCell="H31" sqref="H31"/>
    </sheetView>
  </sheetViews>
  <sheetFormatPr defaultColWidth="9" defaultRowHeight="15"/>
  <cols>
    <col min="1" max="1" width="9" style="1"/>
    <col min="2" max="5" width="12.8571428571429" style="1"/>
    <col min="6" max="7" width="9" style="1"/>
    <col min="8" max="8" width="12.8571428571429" style="1"/>
    <col min="9" max="10" width="9" style="1"/>
    <col min="11" max="11" width="12.8571428571429" style="1"/>
    <col min="12" max="16384" width="9" style="1"/>
  </cols>
  <sheetData>
    <row r="1" spans="1:1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2">
      <c r="A2" s="4">
        <v>1</v>
      </c>
      <c r="B2" s="1" t="s">
        <v>16</v>
      </c>
      <c r="C2" s="1">
        <v>7.25</v>
      </c>
      <c r="D2" s="1">
        <v>184.5</v>
      </c>
      <c r="E2" s="1">
        <v>62.25</v>
      </c>
      <c r="F2" s="1">
        <v>22.5</v>
      </c>
      <c r="G2" s="1">
        <v>11</v>
      </c>
      <c r="H2" s="1">
        <v>1</v>
      </c>
      <c r="I2" s="1">
        <v>1</v>
      </c>
      <c r="J2" s="8">
        <v>1</v>
      </c>
      <c r="K2" s="8">
        <v>1</v>
      </c>
      <c r="L2" s="10">
        <v>1</v>
      </c>
    </row>
    <row r="3" spans="1:12">
      <c r="A3" s="4">
        <v>2</v>
      </c>
      <c r="B3" s="1" t="s">
        <v>24</v>
      </c>
      <c r="C3" s="1">
        <v>9</v>
      </c>
      <c r="D3" s="1">
        <v>222</v>
      </c>
      <c r="E3" s="1">
        <v>39</v>
      </c>
      <c r="F3" s="1">
        <v>42</v>
      </c>
      <c r="G3" s="1">
        <v>12</v>
      </c>
      <c r="H3" s="1">
        <v>12</v>
      </c>
      <c r="I3" s="1">
        <v>12</v>
      </c>
      <c r="J3" s="8">
        <v>12</v>
      </c>
      <c r="K3" s="8">
        <v>12</v>
      </c>
      <c r="L3" s="10">
        <v>12</v>
      </c>
    </row>
    <row r="4" spans="1:12">
      <c r="A4" s="4">
        <v>3</v>
      </c>
      <c r="B4" s="1" t="s">
        <v>21</v>
      </c>
      <c r="C4" s="1">
        <v>8.66666666666667</v>
      </c>
      <c r="D4" s="1">
        <v>240</v>
      </c>
      <c r="E4" s="1">
        <v>77.3333333333333</v>
      </c>
      <c r="F4" s="1">
        <v>33</v>
      </c>
      <c r="G4" s="1">
        <v>13</v>
      </c>
      <c r="H4" s="1">
        <v>13</v>
      </c>
      <c r="I4" s="1">
        <v>2</v>
      </c>
      <c r="J4" s="8">
        <v>2</v>
      </c>
      <c r="K4" s="8">
        <v>2</v>
      </c>
      <c r="L4" s="10">
        <v>2</v>
      </c>
    </row>
    <row r="5" spans="1:12">
      <c r="A5" s="4">
        <v>4</v>
      </c>
      <c r="B5" s="1" t="s">
        <v>17</v>
      </c>
      <c r="G5" s="1">
        <v>14</v>
      </c>
      <c r="H5" s="1">
        <v>1</v>
      </c>
      <c r="I5" s="1">
        <v>1</v>
      </c>
      <c r="J5" s="8">
        <v>1</v>
      </c>
      <c r="K5" s="8">
        <v>1</v>
      </c>
      <c r="L5" s="10">
        <v>1</v>
      </c>
    </row>
    <row r="6" spans="1:12">
      <c r="A6" s="4">
        <v>5</v>
      </c>
      <c r="B6" s="1" t="s">
        <v>22</v>
      </c>
      <c r="G6" s="1">
        <v>15</v>
      </c>
      <c r="H6" s="1">
        <v>15</v>
      </c>
      <c r="I6" s="1">
        <v>2</v>
      </c>
      <c r="J6" s="8">
        <v>2</v>
      </c>
      <c r="K6" s="8">
        <v>2</v>
      </c>
      <c r="L6" s="10">
        <v>2</v>
      </c>
    </row>
    <row r="7" spans="1:12">
      <c r="A7" s="4">
        <v>6</v>
      </c>
      <c r="B7" s="1" t="s">
        <v>19</v>
      </c>
      <c r="G7" s="1">
        <v>16</v>
      </c>
      <c r="H7" s="1">
        <v>16</v>
      </c>
      <c r="I7" s="1">
        <v>16</v>
      </c>
      <c r="J7" s="8">
        <v>16</v>
      </c>
      <c r="K7" s="8">
        <v>1</v>
      </c>
      <c r="L7" s="10">
        <v>1</v>
      </c>
    </row>
    <row r="8" spans="1:12">
      <c r="A8" s="4">
        <v>7</v>
      </c>
      <c r="B8" s="1" t="s">
        <v>25</v>
      </c>
      <c r="C8" s="1">
        <v>0</v>
      </c>
      <c r="D8" s="1">
        <v>35</v>
      </c>
      <c r="E8" s="1">
        <v>75</v>
      </c>
      <c r="F8" s="1">
        <v>7</v>
      </c>
      <c r="G8" s="1">
        <v>17</v>
      </c>
      <c r="H8" s="1">
        <v>17</v>
      </c>
      <c r="I8" s="1">
        <v>17</v>
      </c>
      <c r="J8" s="8">
        <v>17</v>
      </c>
      <c r="K8" s="8">
        <v>17</v>
      </c>
      <c r="L8" s="10">
        <v>17</v>
      </c>
    </row>
    <row r="9" spans="1:12">
      <c r="A9" s="4">
        <v>8</v>
      </c>
      <c r="B9" s="1" t="s">
        <v>18</v>
      </c>
      <c r="G9" s="1">
        <v>18</v>
      </c>
      <c r="H9" s="1">
        <v>18</v>
      </c>
      <c r="I9" s="1">
        <v>18</v>
      </c>
      <c r="J9" s="8">
        <v>1</v>
      </c>
      <c r="K9" s="8">
        <v>1</v>
      </c>
      <c r="L9" s="10">
        <v>1</v>
      </c>
    </row>
    <row r="10" spans="1:12">
      <c r="A10" s="4">
        <v>9</v>
      </c>
      <c r="B10" s="1" t="s">
        <v>23</v>
      </c>
      <c r="G10" s="1">
        <v>19</v>
      </c>
      <c r="H10" s="1">
        <v>19</v>
      </c>
      <c r="I10" s="1">
        <v>19</v>
      </c>
      <c r="J10" s="8">
        <v>19</v>
      </c>
      <c r="K10" s="8">
        <v>2</v>
      </c>
      <c r="L10" s="10">
        <v>2</v>
      </c>
    </row>
    <row r="11" spans="1:12">
      <c r="A11" s="5">
        <v>10</v>
      </c>
      <c r="B11" s="1" t="s">
        <v>20</v>
      </c>
      <c r="C11" s="1">
        <v>15</v>
      </c>
      <c r="D11" s="1">
        <v>136</v>
      </c>
      <c r="E11" s="1">
        <v>52</v>
      </c>
      <c r="F11" s="1">
        <v>24</v>
      </c>
      <c r="G11" s="1">
        <v>20</v>
      </c>
      <c r="H11" s="1">
        <v>20</v>
      </c>
      <c r="I11" s="1">
        <v>20</v>
      </c>
      <c r="J11" s="8">
        <v>20</v>
      </c>
      <c r="K11" s="8">
        <v>20</v>
      </c>
      <c r="L11" s="10">
        <v>20</v>
      </c>
    </row>
    <row r="13" spans="2:11"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</row>
    <row r="14" spans="1:17">
      <c r="A14" s="6">
        <v>1</v>
      </c>
      <c r="B14" s="7">
        <f>IFERROR(IF($A14=B$13,1000000,SQRT(SUMXMY2($C2:$F2,INDEX($C$2:$F$11,B$13,0)))),1000000)</f>
        <v>1000000</v>
      </c>
      <c r="C14" s="7">
        <f>IFERROR(IF($A14=C$13,1000000,SQRT(SUMXMY2($C2:$F2,INDEX($C$2:$F$11,C$13,0)))),1000000)</f>
        <v>48.2713683253334</v>
      </c>
      <c r="D14" s="7">
        <f>IFERROR(IF($A14=D$13,1000000,SQRT(SUMXMY2($C2:$F2,INDEX($C$2:$F$11,D$13,0)))),1000000)</f>
        <v>58.4808848162277</v>
      </c>
      <c r="E14" s="7">
        <f>IFERROR(IF($A14=E$13,1000000,SQRT(SUMXMY2($C2:$F2,INDEX($C$2:$F$11,E$13,0)))),1000000)</f>
        <v>1000000</v>
      </c>
      <c r="F14" s="7">
        <f>IFERROR(IF($A14=F$13,1000000,SQRT(SUMXMY2($C2:$F2,INDEX($C$2:$F$11,F$13,0)))),1000000)</f>
        <v>1000000</v>
      </c>
      <c r="G14" s="7">
        <f>IFERROR(IF($A14=G$13,1000000,SQRT(SUMXMY2($C2:$F2,INDEX($C$2:$F$11,G$13,0)))),1000000)</f>
        <v>1000000</v>
      </c>
      <c r="H14" s="7">
        <f>IFERROR(IF($A14=H$13,1000000,SQRT(SUMXMY2($C2:$F2,INDEX($C$2:$F$11,H$13,0)))),1000000)</f>
        <v>151.015313793006</v>
      </c>
      <c r="I14" s="7">
        <f>IFERROR(IF($A14=I$13,1000000,SQRT(SUMXMY2($C2:$F2,INDEX($C$2:$F$11,I$13,0)))),1000000)</f>
        <v>1000000</v>
      </c>
      <c r="J14" s="7">
        <f>IFERROR(IF($A14=J$13,1000000,SQRT(SUMXMY2($C2:$F2,INDEX($C$2:$F$11,J$13,0)))),1000000)</f>
        <v>1000000</v>
      </c>
      <c r="K14" s="7">
        <f>IFERROR(IF($A14=K$13,1000000,SQRT(SUMXMY2($C2:$F2,INDEX($C$2:$F$11,K$13,0)))),1000000)</f>
        <v>50.1958663636758</v>
      </c>
      <c r="L14" s="9" t="e">
        <f t="shared" ref="L14:L23" si="0">MATCH(MIN($B$14:$K$23),B14:K14,0)</f>
        <v>#N/A</v>
      </c>
      <c r="N14" s="9">
        <f t="shared" ref="N14:Q14" si="1">SUM(C2*3,C7)/4</f>
        <v>5.4375</v>
      </c>
      <c r="O14" s="9">
        <f t="shared" si="1"/>
        <v>138.375</v>
      </c>
      <c r="P14" s="9">
        <f t="shared" si="1"/>
        <v>46.6875</v>
      </c>
      <c r="Q14" s="9">
        <f t="shared" si="1"/>
        <v>16.875</v>
      </c>
    </row>
    <row r="15" spans="1:17">
      <c r="A15" s="6">
        <v>2</v>
      </c>
      <c r="B15" s="7">
        <f>IFERROR(IF($A15=B$13,1000000,SQRT(SUMXMY2($C3:$F3,INDEX($C$2:$F$11,B$13,0)))),1000000)</f>
        <v>48.2713683253334</v>
      </c>
      <c r="C15" s="7">
        <f>IFERROR(IF($A15=C$13,1000000,SQRT(SUMXMY2($C3:$F3,INDEX($C$2:$F$11,C$13,0)))),1000000)</f>
        <v>1000000</v>
      </c>
      <c r="D15" s="7">
        <f>IFERROR(IF($A15=D$13,1000000,SQRT(SUMXMY2($C3:$F3,INDEX($C$2:$F$11,D$13,0)))),1000000)</f>
        <v>43.2961378826744</v>
      </c>
      <c r="E15" s="7">
        <f>IFERROR(IF($A15=E$13,1000000,SQRT(SUMXMY2($C3:$F3,INDEX($C$2:$F$11,E$13,0)))),1000000)</f>
        <v>1000000</v>
      </c>
      <c r="F15" s="7">
        <f>IFERROR(IF($A15=F$13,1000000,SQRT(SUMXMY2($C3:$F3,INDEX($C$2:$F$11,F$13,0)))),1000000)</f>
        <v>1000000</v>
      </c>
      <c r="G15" s="7">
        <f>IFERROR(IF($A15=G$13,1000000,SQRT(SUMXMY2($C3:$F3,INDEX($C$2:$F$11,G$13,0)))),1000000)</f>
        <v>1000000</v>
      </c>
      <c r="H15" s="7">
        <f>IFERROR(IF($A15=H$13,1000000,SQRT(SUMXMY2($C3:$F3,INDEX($C$2:$F$11,H$13,0)))),1000000)</f>
        <v>193.832401832098</v>
      </c>
      <c r="I15" s="7">
        <f>IFERROR(IF($A15=I$13,1000000,SQRT(SUMXMY2($C3:$F3,INDEX($C$2:$F$11,I$13,0)))),1000000)</f>
        <v>1000000</v>
      </c>
      <c r="J15" s="7">
        <f>IFERROR(IF($A15=J$13,1000000,SQRT(SUMXMY2($C3:$F3,INDEX($C$2:$F$11,J$13,0)))),1000000)</f>
        <v>1000000</v>
      </c>
      <c r="K15" s="7">
        <f>IFERROR(IF($A15=K$13,1000000,SQRT(SUMXMY2($C3:$F3,INDEX($C$2:$F$11,K$13,0)))),1000000)</f>
        <v>89.0224690738243</v>
      </c>
      <c r="L15" s="9">
        <f t="shared" si="0"/>
        <v>3</v>
      </c>
      <c r="N15" s="1">
        <v>7.25</v>
      </c>
      <c r="O15" s="1">
        <v>184.5</v>
      </c>
      <c r="P15" s="1">
        <v>62.25</v>
      </c>
      <c r="Q15" s="1">
        <v>22.5</v>
      </c>
    </row>
    <row r="16" spans="1:12">
      <c r="A16" s="6">
        <v>3</v>
      </c>
      <c r="B16" s="7">
        <f>IFERROR(IF($A16=B$13,1000000,SQRT(SUMXMY2($C4:$F4,INDEX($C$2:$F$11,B$13,0)))),1000000)</f>
        <v>58.4808848162277</v>
      </c>
      <c r="C16" s="7">
        <f>IFERROR(IF($A16=C$13,1000000,SQRT(SUMXMY2($C4:$F4,INDEX($C$2:$F$11,C$13,0)))),1000000)</f>
        <v>43.2961378826744</v>
      </c>
      <c r="D16" s="7">
        <f>IFERROR(IF($A16=D$13,1000000,SQRT(SUMXMY2($C4:$F4,INDEX($C$2:$F$11,D$13,0)))),1000000)</f>
        <v>1000000</v>
      </c>
      <c r="E16" s="7">
        <f>IFERROR(IF($A16=E$13,1000000,SQRT(SUMXMY2($C4:$F4,INDEX($C$2:$F$11,E$13,0)))),1000000)</f>
        <v>1000000</v>
      </c>
      <c r="F16" s="7">
        <f>IFERROR(IF($A16=F$13,1000000,SQRT(SUMXMY2($C4:$F4,INDEX($C$2:$F$11,F$13,0)))),1000000)</f>
        <v>1000000</v>
      </c>
      <c r="G16" s="7">
        <f>IFERROR(IF($A16=G$13,1000000,SQRT(SUMXMY2($C4:$F4,INDEX($C$2:$F$11,G$13,0)))),1000000)</f>
        <v>1000000</v>
      </c>
      <c r="H16" s="7">
        <f>IFERROR(IF($A16=H$13,1000000,SQRT(SUMXMY2($C4:$F4,INDEX($C$2:$F$11,H$13,0)))),1000000)</f>
        <v>206.837026558485</v>
      </c>
      <c r="I16" s="7">
        <f>IFERROR(IF($A16=I$13,1000000,SQRT(SUMXMY2($C4:$F4,INDEX($C$2:$F$11,I$13,0)))),1000000)</f>
        <v>1000000</v>
      </c>
      <c r="J16" s="7">
        <f>IFERROR(IF($A16=J$13,1000000,SQRT(SUMXMY2($C4:$F4,INDEX($C$2:$F$11,J$13,0)))),1000000)</f>
        <v>1000000</v>
      </c>
      <c r="K16" s="7">
        <f>IFERROR(IF($A16=K$13,1000000,SQRT(SUMXMY2($C4:$F4,INDEX($C$2:$F$11,K$13,0)))),1000000)</f>
        <v>107.605245638346</v>
      </c>
      <c r="L16" s="9">
        <f t="shared" si="0"/>
        <v>2</v>
      </c>
    </row>
    <row r="17" spans="1:12">
      <c r="A17" s="6">
        <v>4</v>
      </c>
      <c r="B17" s="7">
        <f>IFERROR(IF($A17=B$13,1000000,SQRT(SUMXMY2($C5:$F5,INDEX($C$2:$F$11,B$13,0)))),1000000)</f>
        <v>1000000</v>
      </c>
      <c r="C17" s="7">
        <f>IFERROR(IF($A17=C$13,1000000,SQRT(SUMXMY2($C5:$F5,INDEX($C$2:$F$11,C$13,0)))),1000000)</f>
        <v>1000000</v>
      </c>
      <c r="D17" s="7">
        <f>IFERROR(IF($A17=D$13,1000000,SQRT(SUMXMY2($C5:$F5,INDEX($C$2:$F$11,D$13,0)))),1000000)</f>
        <v>1000000</v>
      </c>
      <c r="E17" s="7">
        <f>IFERROR(IF($A17=E$13,1000000,SQRT(SUMXMY2($C5:$F5,INDEX($C$2:$F$11,E$13,0)))),1000000)</f>
        <v>1000000</v>
      </c>
      <c r="F17" s="7">
        <f>IFERROR(IF($A17=F$13,1000000,SQRT(SUMXMY2($C5:$F5,INDEX($C$2:$F$11,F$13,0)))),1000000)</f>
        <v>1000000</v>
      </c>
      <c r="G17" s="7">
        <f>IFERROR(IF($A17=G$13,1000000,SQRT(SUMXMY2($C5:$F5,INDEX($C$2:$F$11,G$13,0)))),1000000)</f>
        <v>1000000</v>
      </c>
      <c r="H17" s="7">
        <f>IFERROR(IF($A17=H$13,1000000,SQRT(SUMXMY2($C5:$F5,INDEX($C$2:$F$11,H$13,0)))),1000000)</f>
        <v>1000000</v>
      </c>
      <c r="I17" s="7">
        <f>IFERROR(IF($A17=I$13,1000000,SQRT(SUMXMY2($C5:$F5,INDEX($C$2:$F$11,I$13,0)))),1000000)</f>
        <v>1000000</v>
      </c>
      <c r="J17" s="7">
        <f>IFERROR(IF($A17=J$13,1000000,SQRT(SUMXMY2($C5:$F5,INDEX($C$2:$F$11,J$13,0)))),1000000)</f>
        <v>1000000</v>
      </c>
      <c r="K17" s="7">
        <f>IFERROR(IF($A17=K$13,1000000,SQRT(SUMXMY2($C5:$F5,INDEX($C$2:$F$11,K$13,0)))),1000000)</f>
        <v>1000000</v>
      </c>
      <c r="L17" s="9" t="e">
        <f t="shared" si="0"/>
        <v>#N/A</v>
      </c>
    </row>
    <row r="18" spans="1:12">
      <c r="A18" s="6">
        <v>5</v>
      </c>
      <c r="B18" s="7">
        <f>IFERROR(IF($A18=B$13,1000000,SQRT(SUMXMY2($C6:$F6,INDEX($C$2:$F$11,B$13,0)))),1000000)</f>
        <v>1000000</v>
      </c>
      <c r="C18" s="7">
        <f>IFERROR(IF($A18=C$13,1000000,SQRT(SUMXMY2($C6:$F6,INDEX($C$2:$F$11,C$13,0)))),1000000)</f>
        <v>1000000</v>
      </c>
      <c r="D18" s="7">
        <f>IFERROR(IF($A18=D$13,1000000,SQRT(SUMXMY2($C6:$F6,INDEX($C$2:$F$11,D$13,0)))),1000000)</f>
        <v>1000000</v>
      </c>
      <c r="E18" s="7">
        <f>IFERROR(IF($A18=E$13,1000000,SQRT(SUMXMY2($C6:$F6,INDEX($C$2:$F$11,E$13,0)))),1000000)</f>
        <v>1000000</v>
      </c>
      <c r="F18" s="7">
        <f>IFERROR(IF($A18=F$13,1000000,SQRT(SUMXMY2($C6:$F6,INDEX($C$2:$F$11,F$13,0)))),1000000)</f>
        <v>1000000</v>
      </c>
      <c r="G18" s="7">
        <f>IFERROR(IF($A18=G$13,1000000,SQRT(SUMXMY2($C6:$F6,INDEX($C$2:$F$11,G$13,0)))),1000000)</f>
        <v>1000000</v>
      </c>
      <c r="H18" s="7">
        <f>IFERROR(IF($A18=H$13,1000000,SQRT(SUMXMY2($C6:$F6,INDEX($C$2:$F$11,H$13,0)))),1000000)</f>
        <v>1000000</v>
      </c>
      <c r="I18" s="7">
        <f>IFERROR(IF($A18=I$13,1000000,SQRT(SUMXMY2($C6:$F6,INDEX($C$2:$F$11,I$13,0)))),1000000)</f>
        <v>1000000</v>
      </c>
      <c r="J18" s="7">
        <f>IFERROR(IF($A18=J$13,1000000,SQRT(SUMXMY2($C6:$F6,INDEX($C$2:$F$11,J$13,0)))),1000000)</f>
        <v>1000000</v>
      </c>
      <c r="K18" s="7">
        <f>IFERROR(IF($A18=K$13,1000000,SQRT(SUMXMY2($C6:$F6,INDEX($C$2:$F$11,K$13,0)))),1000000)</f>
        <v>1000000</v>
      </c>
      <c r="L18" s="9" t="e">
        <f t="shared" si="0"/>
        <v>#N/A</v>
      </c>
    </row>
    <row r="19" spans="1:12">
      <c r="A19" s="6">
        <v>6</v>
      </c>
      <c r="B19" s="7">
        <f>IFERROR(IF($A19=B$13,1000000,SQRT(SUMXMY2($C7:$F7,INDEX($C$2:$F$11,B$13,0)))),1000000)</f>
        <v>1000000</v>
      </c>
      <c r="C19" s="7">
        <f>IFERROR(IF($A19=C$13,1000000,SQRT(SUMXMY2($C7:$F7,INDEX($C$2:$F$11,C$13,0)))),1000000)</f>
        <v>1000000</v>
      </c>
      <c r="D19" s="7">
        <f>IFERROR(IF($A19=D$13,1000000,SQRT(SUMXMY2($C7:$F7,INDEX($C$2:$F$11,D$13,0)))),1000000)</f>
        <v>1000000</v>
      </c>
      <c r="E19" s="7">
        <f>IFERROR(IF($A19=E$13,1000000,SQRT(SUMXMY2($C7:$F7,INDEX($C$2:$F$11,E$13,0)))),1000000)</f>
        <v>1000000</v>
      </c>
      <c r="F19" s="7">
        <f>IFERROR(IF($A19=F$13,1000000,SQRT(SUMXMY2($C7:$F7,INDEX($C$2:$F$11,F$13,0)))),1000000)</f>
        <v>1000000</v>
      </c>
      <c r="G19" s="7">
        <f>IFERROR(IF($A19=G$13,1000000,SQRT(SUMXMY2($C7:$F7,INDEX($C$2:$F$11,G$13,0)))),1000000)</f>
        <v>1000000</v>
      </c>
      <c r="H19" s="7">
        <f>IFERROR(IF($A19=H$13,1000000,SQRT(SUMXMY2($C7:$F7,INDEX($C$2:$F$11,H$13,0)))),1000000)</f>
        <v>1000000</v>
      </c>
      <c r="I19" s="7">
        <f>IFERROR(IF($A19=I$13,1000000,SQRT(SUMXMY2($C7:$F7,INDEX($C$2:$F$11,I$13,0)))),1000000)</f>
        <v>1000000</v>
      </c>
      <c r="J19" s="7">
        <f>IFERROR(IF($A19=J$13,1000000,SQRT(SUMXMY2($C7:$F7,INDEX($C$2:$F$11,J$13,0)))),1000000)</f>
        <v>1000000</v>
      </c>
      <c r="K19" s="7">
        <f>IFERROR(IF($A19=K$13,1000000,SQRT(SUMXMY2($C7:$F7,INDEX($C$2:$F$11,K$13,0)))),1000000)</f>
        <v>1000000</v>
      </c>
      <c r="L19" s="9" t="e">
        <f t="shared" si="0"/>
        <v>#N/A</v>
      </c>
    </row>
    <row r="20" spans="1:12">
      <c r="A20" s="6">
        <v>7</v>
      </c>
      <c r="B20" s="7">
        <f>IFERROR(IF($A20=B$13,1000000,SQRT(SUMXMY2($C8:$F8,INDEX($C$2:$F$11,B$13,0)))),1000000)</f>
        <v>151.015313793006</v>
      </c>
      <c r="C20" s="7">
        <f>IFERROR(IF($A20=C$13,1000000,SQRT(SUMXMY2($C8:$F8,INDEX($C$2:$F$11,C$13,0)))),1000000)</f>
        <v>193.832401832098</v>
      </c>
      <c r="D20" s="7">
        <f>IFERROR(IF($A20=D$13,1000000,SQRT(SUMXMY2($C8:$F8,INDEX($C$2:$F$11,D$13,0)))),1000000)</f>
        <v>206.837026558485</v>
      </c>
      <c r="E20" s="7">
        <f>IFERROR(IF($A20=E$13,1000000,SQRT(SUMXMY2($C8:$F8,INDEX($C$2:$F$11,E$13,0)))),1000000)</f>
        <v>1000000</v>
      </c>
      <c r="F20" s="7">
        <f>IFERROR(IF($A20=F$13,1000000,SQRT(SUMXMY2($C8:$F8,INDEX($C$2:$F$11,F$13,0)))),1000000)</f>
        <v>1000000</v>
      </c>
      <c r="G20" s="7">
        <f>IFERROR(IF($A20=G$13,1000000,SQRT(SUMXMY2($C8:$F8,INDEX($C$2:$F$11,G$13,0)))),1000000)</f>
        <v>1000000</v>
      </c>
      <c r="H20" s="7">
        <f>IFERROR(IF($A20=H$13,1000000,SQRT(SUMXMY2($C8:$F8,INDEX($C$2:$F$11,H$13,0)))),1000000)</f>
        <v>1000000</v>
      </c>
      <c r="I20" s="7">
        <f>IFERROR(IF($A20=I$13,1000000,SQRT(SUMXMY2($C8:$F8,INDEX($C$2:$F$11,I$13,0)))),1000000)</f>
        <v>1000000</v>
      </c>
      <c r="J20" s="7">
        <f>IFERROR(IF($A20=J$13,1000000,SQRT(SUMXMY2($C8:$F8,INDEX($C$2:$F$11,J$13,0)))),1000000)</f>
        <v>1000000</v>
      </c>
      <c r="K20" s="7">
        <f>IFERROR(IF($A20=K$13,1000000,SQRT(SUMXMY2($C8:$F8,INDEX($C$2:$F$11,K$13,0)))),1000000)</f>
        <v>106.037729134493</v>
      </c>
      <c r="L20" s="9" t="e">
        <f t="shared" si="0"/>
        <v>#N/A</v>
      </c>
    </row>
    <row r="21" spans="1:12">
      <c r="A21" s="6">
        <v>8</v>
      </c>
      <c r="B21" s="7">
        <f>IFERROR(IF($A21=B$13,1000000,SQRT(SUMXMY2($C9:$F9,INDEX($C$2:$F$11,B$13,0)))),1000000)</f>
        <v>1000000</v>
      </c>
      <c r="C21" s="7">
        <f>IFERROR(IF($A21=C$13,1000000,SQRT(SUMXMY2($C9:$F9,INDEX($C$2:$F$11,C$13,0)))),1000000)</f>
        <v>1000000</v>
      </c>
      <c r="D21" s="7">
        <f>IFERROR(IF($A21=D$13,1000000,SQRT(SUMXMY2($C9:$F9,INDEX($C$2:$F$11,D$13,0)))),1000000)</f>
        <v>1000000</v>
      </c>
      <c r="E21" s="7">
        <f>IFERROR(IF($A21=E$13,1000000,SQRT(SUMXMY2($C9:$F9,INDEX($C$2:$F$11,E$13,0)))),1000000)</f>
        <v>1000000</v>
      </c>
      <c r="F21" s="7">
        <f>IFERROR(IF($A21=F$13,1000000,SQRT(SUMXMY2($C9:$F9,INDEX($C$2:$F$11,F$13,0)))),1000000)</f>
        <v>1000000</v>
      </c>
      <c r="G21" s="7">
        <f>IFERROR(IF($A21=G$13,1000000,SQRT(SUMXMY2($C9:$F9,INDEX($C$2:$F$11,G$13,0)))),1000000)</f>
        <v>1000000</v>
      </c>
      <c r="H21" s="7">
        <f>IFERROR(IF($A21=H$13,1000000,SQRT(SUMXMY2($C9:$F9,INDEX($C$2:$F$11,H$13,0)))),1000000)</f>
        <v>1000000</v>
      </c>
      <c r="I21" s="7">
        <f>IFERROR(IF($A21=I$13,1000000,SQRT(SUMXMY2($C9:$F9,INDEX($C$2:$F$11,I$13,0)))),1000000)</f>
        <v>1000000</v>
      </c>
      <c r="J21" s="7">
        <f>IFERROR(IF($A21=J$13,1000000,SQRT(SUMXMY2($C9:$F9,INDEX($C$2:$F$11,J$13,0)))),1000000)</f>
        <v>1000000</v>
      </c>
      <c r="K21" s="7">
        <f>IFERROR(IF($A21=K$13,1000000,SQRT(SUMXMY2($C9:$F9,INDEX($C$2:$F$11,K$13,0)))),1000000)</f>
        <v>1000000</v>
      </c>
      <c r="L21" s="9" t="e">
        <f t="shared" si="0"/>
        <v>#N/A</v>
      </c>
    </row>
    <row r="22" spans="1:12">
      <c r="A22" s="6">
        <v>9</v>
      </c>
      <c r="B22" s="7">
        <f>IFERROR(IF($A22=B$13,1000000,SQRT(SUMXMY2($C10:$F10,INDEX($C$2:$F$11,B$13,0)))),1000000)</f>
        <v>1000000</v>
      </c>
      <c r="C22" s="7">
        <f>IFERROR(IF($A22=C$13,1000000,SQRT(SUMXMY2($C10:$F10,INDEX($C$2:$F$11,C$13,0)))),1000000)</f>
        <v>1000000</v>
      </c>
      <c r="D22" s="7">
        <f>IFERROR(IF($A22=D$13,1000000,SQRT(SUMXMY2($C10:$F10,INDEX($C$2:$F$11,D$13,0)))),1000000)</f>
        <v>1000000</v>
      </c>
      <c r="E22" s="7">
        <f>IFERROR(IF($A22=E$13,1000000,SQRT(SUMXMY2($C10:$F10,INDEX($C$2:$F$11,E$13,0)))),1000000)</f>
        <v>1000000</v>
      </c>
      <c r="F22" s="7">
        <f>IFERROR(IF($A22=F$13,1000000,SQRT(SUMXMY2($C10:$F10,INDEX($C$2:$F$11,F$13,0)))),1000000)</f>
        <v>1000000</v>
      </c>
      <c r="G22" s="7">
        <f>IFERROR(IF($A22=G$13,1000000,SQRT(SUMXMY2($C10:$F10,INDEX($C$2:$F$11,G$13,0)))),1000000)</f>
        <v>1000000</v>
      </c>
      <c r="H22" s="7">
        <f>IFERROR(IF($A22=H$13,1000000,SQRT(SUMXMY2($C10:$F10,INDEX($C$2:$F$11,H$13,0)))),1000000)</f>
        <v>1000000</v>
      </c>
      <c r="I22" s="7">
        <f>IFERROR(IF($A22=I$13,1000000,SQRT(SUMXMY2($C10:$F10,INDEX($C$2:$F$11,I$13,0)))),1000000)</f>
        <v>1000000</v>
      </c>
      <c r="J22" s="7">
        <f>IFERROR(IF($A22=J$13,1000000,SQRT(SUMXMY2($C10:$F10,INDEX($C$2:$F$11,J$13,0)))),1000000)</f>
        <v>1000000</v>
      </c>
      <c r="K22" s="7">
        <f>IFERROR(IF($A22=K$13,1000000,SQRT(SUMXMY2($C10:$F10,INDEX($C$2:$F$11,K$13,0)))),1000000)</f>
        <v>1000000</v>
      </c>
      <c r="L22" s="9" t="e">
        <f t="shared" si="0"/>
        <v>#N/A</v>
      </c>
    </row>
    <row r="23" spans="1:12">
      <c r="A23" s="6">
        <v>10</v>
      </c>
      <c r="B23" s="7">
        <f>IFERROR(IF($A23=B$13,1000000,SQRT(SUMXMY2($C11:$F11,INDEX($C$2:$F$11,B$13,0)))),1000000)</f>
        <v>50.1958663636758</v>
      </c>
      <c r="C23" s="7">
        <f>IFERROR(IF($A23=C$13,1000000,SQRT(SUMXMY2($C11:$F11,INDEX($C$2:$F$11,C$13,0)))),1000000)</f>
        <v>89.0224690738243</v>
      </c>
      <c r="D23" s="7">
        <f>IFERROR(IF($A23=D$13,1000000,SQRT(SUMXMY2($C11:$F11,INDEX($C$2:$F$11,D$13,0)))),1000000)</f>
        <v>107.605245638346</v>
      </c>
      <c r="E23" s="7">
        <f>IFERROR(IF($A23=E$13,1000000,SQRT(SUMXMY2($C11:$F11,INDEX($C$2:$F$11,E$13,0)))),1000000)</f>
        <v>1000000</v>
      </c>
      <c r="F23" s="7">
        <f>IFERROR(IF($A23=F$13,1000000,SQRT(SUMXMY2($C11:$F11,INDEX($C$2:$F$11,F$13,0)))),1000000)</f>
        <v>1000000</v>
      </c>
      <c r="G23" s="7">
        <f>IFERROR(IF($A23=G$13,1000000,SQRT(SUMXMY2($C11:$F11,INDEX($C$2:$F$11,G$13,0)))),1000000)</f>
        <v>1000000</v>
      </c>
      <c r="H23" s="7">
        <f>IFERROR(IF($A23=H$13,1000000,SQRT(SUMXMY2($C11:$F11,INDEX($C$2:$F$11,H$13,0)))),1000000)</f>
        <v>106.037729134493</v>
      </c>
      <c r="I23" s="7">
        <f>IFERROR(IF($A23=I$13,1000000,SQRT(SUMXMY2($C11:$F11,INDEX($C$2:$F$11,I$13,0)))),1000000)</f>
        <v>1000000</v>
      </c>
      <c r="J23" s="7">
        <f>IFERROR(IF($A23=J$13,1000000,SQRT(SUMXMY2($C11:$F11,INDEX($C$2:$F$11,J$13,0)))),1000000)</f>
        <v>1000000</v>
      </c>
      <c r="K23" s="7">
        <f>IFERROR(IF($A23=K$13,1000000,SQRT(SUMXMY2($C11:$F11,INDEX($C$2:$F$11,K$13,0)))),1000000)</f>
        <v>1000000</v>
      </c>
      <c r="L23" s="9" t="e">
        <f t="shared" si="0"/>
        <v>#N/A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workbookViewId="0">
      <selection activeCell="I31" sqref="I31"/>
    </sheetView>
  </sheetViews>
  <sheetFormatPr defaultColWidth="9" defaultRowHeight="15"/>
  <cols>
    <col min="1" max="1" width="9" style="11"/>
    <col min="2" max="2" width="14.5714285714286" style="11"/>
    <col min="3" max="3" width="9.57142857142857" style="11"/>
    <col min="4" max="4" width="14.5714285714286" style="11"/>
    <col min="5" max="7" width="9.57142857142857" style="11"/>
    <col min="8" max="8" width="14.5714285714286" style="11"/>
    <col min="9" max="10" width="9.57142857142857" style="11"/>
    <col min="11" max="11" width="14.5714285714286" style="11"/>
    <col min="12" max="14" width="9" style="11"/>
    <col min="15" max="17" width="9.57142857142857" style="11"/>
    <col min="18" max="16384" width="9" style="11"/>
  </cols>
  <sheetData>
    <row r="1" spans="1:16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</row>
    <row r="2" spans="1:13">
      <c r="A2" s="15">
        <v>1</v>
      </c>
      <c r="B2" s="13" t="s">
        <v>16</v>
      </c>
      <c r="C2" s="11">
        <v>7.25</v>
      </c>
      <c r="D2" s="11">
        <v>184.5</v>
      </c>
      <c r="E2" s="11">
        <v>62.25</v>
      </c>
      <c r="F2" s="11">
        <v>22.5</v>
      </c>
      <c r="G2" s="11">
        <v>11</v>
      </c>
      <c r="H2" s="11">
        <v>1</v>
      </c>
      <c r="I2" s="11">
        <v>1</v>
      </c>
      <c r="J2" s="13">
        <v>1</v>
      </c>
      <c r="K2" s="13">
        <v>1</v>
      </c>
      <c r="L2" s="13">
        <v>1</v>
      </c>
      <c r="M2" s="19">
        <v>1</v>
      </c>
    </row>
    <row r="3" spans="1:13">
      <c r="A3" s="15">
        <v>2</v>
      </c>
      <c r="B3" s="13" t="s">
        <v>24</v>
      </c>
      <c r="G3" s="11">
        <v>12</v>
      </c>
      <c r="H3" s="11">
        <v>12</v>
      </c>
      <c r="I3" s="11">
        <v>12</v>
      </c>
      <c r="J3" s="13">
        <v>12</v>
      </c>
      <c r="K3" s="13">
        <v>12</v>
      </c>
      <c r="L3" s="13">
        <v>12</v>
      </c>
      <c r="M3" s="19">
        <v>2</v>
      </c>
    </row>
    <row r="4" spans="1:13">
      <c r="A4" s="15">
        <v>3</v>
      </c>
      <c r="B4" s="13" t="s">
        <v>21</v>
      </c>
      <c r="C4" s="11">
        <v>8.75</v>
      </c>
      <c r="D4" s="11">
        <v>235.5</v>
      </c>
      <c r="E4" s="11">
        <v>67.75</v>
      </c>
      <c r="F4" s="11">
        <v>35.25</v>
      </c>
      <c r="G4" s="11">
        <v>13</v>
      </c>
      <c r="H4" s="11">
        <v>13</v>
      </c>
      <c r="I4" s="11">
        <v>2</v>
      </c>
      <c r="J4" s="13">
        <v>2</v>
      </c>
      <c r="K4" s="13">
        <v>2</v>
      </c>
      <c r="L4" s="13">
        <v>2</v>
      </c>
      <c r="M4" s="19">
        <v>2</v>
      </c>
    </row>
    <row r="5" spans="1:13">
      <c r="A5" s="15">
        <v>4</v>
      </c>
      <c r="B5" s="13" t="s">
        <v>17</v>
      </c>
      <c r="G5" s="11">
        <v>14</v>
      </c>
      <c r="H5" s="11">
        <v>1</v>
      </c>
      <c r="I5" s="11">
        <v>1</v>
      </c>
      <c r="J5" s="13">
        <v>1</v>
      </c>
      <c r="K5" s="13">
        <v>1</v>
      </c>
      <c r="L5" s="13">
        <v>1</v>
      </c>
      <c r="M5" s="19">
        <v>1</v>
      </c>
    </row>
    <row r="6" spans="1:13">
      <c r="A6" s="15">
        <v>5</v>
      </c>
      <c r="B6" s="13" t="s">
        <v>22</v>
      </c>
      <c r="G6" s="11">
        <v>15</v>
      </c>
      <c r="H6" s="11">
        <v>15</v>
      </c>
      <c r="I6" s="11">
        <v>2</v>
      </c>
      <c r="J6" s="13">
        <v>2</v>
      </c>
      <c r="K6" s="13">
        <v>2</v>
      </c>
      <c r="L6" s="13">
        <v>2</v>
      </c>
      <c r="M6" s="19">
        <v>2</v>
      </c>
    </row>
    <row r="7" spans="1:13">
      <c r="A7" s="15">
        <v>6</v>
      </c>
      <c r="B7" s="13" t="s">
        <v>19</v>
      </c>
      <c r="G7" s="11">
        <v>16</v>
      </c>
      <c r="H7" s="11">
        <v>16</v>
      </c>
      <c r="I7" s="11">
        <v>16</v>
      </c>
      <c r="J7" s="13">
        <v>16</v>
      </c>
      <c r="K7" s="13">
        <v>1</v>
      </c>
      <c r="L7" s="13">
        <v>1</v>
      </c>
      <c r="M7" s="19">
        <v>1</v>
      </c>
    </row>
    <row r="8" spans="1:13">
      <c r="A8" s="15">
        <v>7</v>
      </c>
      <c r="B8" s="13" t="s">
        <v>25</v>
      </c>
      <c r="C8" s="11">
        <v>0</v>
      </c>
      <c r="D8" s="11">
        <v>35</v>
      </c>
      <c r="E8" s="11">
        <v>75</v>
      </c>
      <c r="F8" s="11">
        <v>7</v>
      </c>
      <c r="G8" s="11">
        <v>17</v>
      </c>
      <c r="H8" s="11">
        <v>17</v>
      </c>
      <c r="I8" s="11">
        <v>17</v>
      </c>
      <c r="J8" s="13">
        <v>17</v>
      </c>
      <c r="K8" s="13">
        <v>17</v>
      </c>
      <c r="L8" s="13">
        <v>17</v>
      </c>
      <c r="M8" s="19">
        <v>17</v>
      </c>
    </row>
    <row r="9" spans="1:13">
      <c r="A9" s="15">
        <v>8</v>
      </c>
      <c r="B9" s="13" t="s">
        <v>18</v>
      </c>
      <c r="G9" s="11">
        <v>18</v>
      </c>
      <c r="H9" s="11">
        <v>18</v>
      </c>
      <c r="I9" s="11">
        <v>18</v>
      </c>
      <c r="J9" s="13">
        <v>1</v>
      </c>
      <c r="K9" s="13">
        <v>1</v>
      </c>
      <c r="L9" s="13">
        <v>1</v>
      </c>
      <c r="M9" s="19">
        <v>1</v>
      </c>
    </row>
    <row r="10" spans="1:13">
      <c r="A10" s="15">
        <v>9</v>
      </c>
      <c r="B10" s="13" t="s">
        <v>23</v>
      </c>
      <c r="G10" s="11">
        <v>19</v>
      </c>
      <c r="H10" s="11">
        <v>19</v>
      </c>
      <c r="I10" s="11">
        <v>19</v>
      </c>
      <c r="J10" s="13">
        <v>19</v>
      </c>
      <c r="K10" s="13">
        <v>2</v>
      </c>
      <c r="L10" s="13">
        <v>2</v>
      </c>
      <c r="M10" s="19">
        <v>2</v>
      </c>
    </row>
    <row r="11" spans="1:13">
      <c r="A11" s="16">
        <v>10</v>
      </c>
      <c r="B11" s="13" t="s">
        <v>20</v>
      </c>
      <c r="C11" s="11">
        <v>15</v>
      </c>
      <c r="D11" s="11">
        <v>136</v>
      </c>
      <c r="E11" s="11">
        <v>52</v>
      </c>
      <c r="F11" s="11">
        <v>24</v>
      </c>
      <c r="G11" s="11">
        <v>20</v>
      </c>
      <c r="H11" s="11">
        <v>20</v>
      </c>
      <c r="I11" s="11">
        <v>20</v>
      </c>
      <c r="J11" s="13">
        <v>20</v>
      </c>
      <c r="K11" s="13">
        <v>20</v>
      </c>
      <c r="L11" s="13">
        <v>20</v>
      </c>
      <c r="M11" s="19">
        <v>20</v>
      </c>
    </row>
    <row r="13" spans="2:11">
      <c r="B13" s="11">
        <v>1</v>
      </c>
      <c r="C13" s="11">
        <v>2</v>
      </c>
      <c r="D13" s="11">
        <v>3</v>
      </c>
      <c r="E13" s="11">
        <v>4</v>
      </c>
      <c r="F13" s="11">
        <v>5</v>
      </c>
      <c r="G13" s="11">
        <v>6</v>
      </c>
      <c r="H13" s="11">
        <v>7</v>
      </c>
      <c r="I13" s="11">
        <v>8</v>
      </c>
      <c r="J13" s="11">
        <v>9</v>
      </c>
      <c r="K13" s="11">
        <v>10</v>
      </c>
    </row>
    <row r="14" spans="1:17">
      <c r="A14" s="17">
        <v>1</v>
      </c>
      <c r="B14" s="18">
        <f>IFERROR(IF($A14=B$13,1000000,SQRT(SUMXMY2($C2:$F2,INDEX($C$2:$F$11,B$13,0)))),1000000)</f>
        <v>1000000</v>
      </c>
      <c r="C14" s="18">
        <f>IFERROR(IF($A14=C$13,1000000,SQRT(SUMXMY2($C2:$F2,INDEX($C$2:$F$11,C$13,0)))),1000000)</f>
        <v>1000000</v>
      </c>
      <c r="D14" s="18">
        <f>IFERROR(IF($A14=D$13,1000000,SQRT(SUMXMY2($C2:$F2,INDEX($C$2:$F$11,D$13,0)))),1000000)</f>
        <v>52.8778072540835</v>
      </c>
      <c r="E14" s="18">
        <f>IFERROR(IF($A14=E$13,1000000,SQRT(SUMXMY2($C2:$F2,INDEX($C$2:$F$11,E$13,0)))),1000000)</f>
        <v>1000000</v>
      </c>
      <c r="F14" s="18">
        <f>IFERROR(IF($A14=F$13,1000000,SQRT(SUMXMY2($C2:$F2,INDEX($C$2:$F$11,F$13,0)))),1000000)</f>
        <v>1000000</v>
      </c>
      <c r="G14" s="18">
        <f>IFERROR(IF($A14=G$13,1000000,SQRT(SUMXMY2($C2:$F2,INDEX($C$2:$F$11,G$13,0)))),1000000)</f>
        <v>1000000</v>
      </c>
      <c r="H14" s="18">
        <f>IFERROR(IF($A14=H$13,1000000,SQRT(SUMXMY2($C2:$F2,INDEX($C$2:$F$11,H$13,0)))),1000000)</f>
        <v>151.015313793006</v>
      </c>
      <c r="I14" s="18">
        <f>IFERROR(IF($A14=I$13,1000000,SQRT(SUMXMY2($C2:$F2,INDEX($C$2:$F$11,I$13,0)))),1000000)</f>
        <v>1000000</v>
      </c>
      <c r="J14" s="18">
        <f>IFERROR(IF($A14=J$13,1000000,SQRT(SUMXMY2($C2:$F2,INDEX($C$2:$F$11,J$13,0)))),1000000)</f>
        <v>1000000</v>
      </c>
      <c r="K14" s="18">
        <f>IFERROR(IF($A14=K$13,1000000,SQRT(SUMXMY2($C2:$F2,INDEX($C$2:$F$11,K$13,0)))),1000000)</f>
        <v>50.1958663636758</v>
      </c>
      <c r="L14" s="20">
        <f t="shared" ref="L14:L23" si="0">MATCH(MIN($B$14:$K$23),B14:K14,0)</f>
        <v>10</v>
      </c>
      <c r="N14" s="20">
        <f t="shared" ref="N14:Q14" si="1">SUM(C4*3,C3)/4</f>
        <v>6.5625</v>
      </c>
      <c r="O14" s="20">
        <f t="shared" si="1"/>
        <v>176.625</v>
      </c>
      <c r="P14" s="20">
        <f t="shared" si="1"/>
        <v>50.8125</v>
      </c>
      <c r="Q14" s="20">
        <f t="shared" si="1"/>
        <v>26.4375</v>
      </c>
    </row>
    <row r="15" spans="1:17">
      <c r="A15" s="17">
        <v>2</v>
      </c>
      <c r="B15" s="18">
        <f>IFERROR(IF($A15=B$13,1000000,SQRT(SUMXMY2($C3:$F3,INDEX($C$2:$F$11,B$13,0)))),1000000)</f>
        <v>1000000</v>
      </c>
      <c r="C15" s="18">
        <f>IFERROR(IF($A15=C$13,1000000,SQRT(SUMXMY2($C3:$F3,INDEX($C$2:$F$11,C$13,0)))),1000000)</f>
        <v>1000000</v>
      </c>
      <c r="D15" s="18">
        <f>IFERROR(IF($A15=D$13,1000000,SQRT(SUMXMY2($C3:$F3,INDEX($C$2:$F$11,D$13,0)))),1000000)</f>
        <v>1000000</v>
      </c>
      <c r="E15" s="18">
        <f>IFERROR(IF($A15=E$13,1000000,SQRT(SUMXMY2($C3:$F3,INDEX($C$2:$F$11,E$13,0)))),1000000)</f>
        <v>1000000</v>
      </c>
      <c r="F15" s="18">
        <f>IFERROR(IF($A15=F$13,1000000,SQRT(SUMXMY2($C3:$F3,INDEX($C$2:$F$11,F$13,0)))),1000000)</f>
        <v>1000000</v>
      </c>
      <c r="G15" s="18">
        <f>IFERROR(IF($A15=G$13,1000000,SQRT(SUMXMY2($C3:$F3,INDEX($C$2:$F$11,G$13,0)))),1000000)</f>
        <v>1000000</v>
      </c>
      <c r="H15" s="18">
        <f>IFERROR(IF($A15=H$13,1000000,SQRT(SUMXMY2($C3:$F3,INDEX($C$2:$F$11,H$13,0)))),1000000)</f>
        <v>1000000</v>
      </c>
      <c r="I15" s="18">
        <f>IFERROR(IF($A15=I$13,1000000,SQRT(SUMXMY2($C3:$F3,INDEX($C$2:$F$11,I$13,0)))),1000000)</f>
        <v>1000000</v>
      </c>
      <c r="J15" s="18">
        <f>IFERROR(IF($A15=J$13,1000000,SQRT(SUMXMY2($C3:$F3,INDEX($C$2:$F$11,J$13,0)))),1000000)</f>
        <v>1000000</v>
      </c>
      <c r="K15" s="18">
        <f>IFERROR(IF($A15=K$13,1000000,SQRT(SUMXMY2($C3:$F3,INDEX($C$2:$F$11,K$13,0)))),1000000)</f>
        <v>1000000</v>
      </c>
      <c r="L15" s="20" t="e">
        <f t="shared" si="0"/>
        <v>#N/A</v>
      </c>
      <c r="N15" s="11">
        <v>8.75</v>
      </c>
      <c r="O15" s="11">
        <v>235.5</v>
      </c>
      <c r="P15" s="11">
        <v>67.75</v>
      </c>
      <c r="Q15" s="11">
        <v>35.25</v>
      </c>
    </row>
    <row r="16" spans="1:12">
      <c r="A16" s="17">
        <v>3</v>
      </c>
      <c r="B16" s="18">
        <f>IFERROR(IF($A16=B$13,1000000,SQRT(SUMXMY2($C4:$F4,INDEX($C$2:$F$11,B$13,0)))),1000000)</f>
        <v>52.8778072540835</v>
      </c>
      <c r="C16" s="18">
        <f>IFERROR(IF($A16=C$13,1000000,SQRT(SUMXMY2($C4:$F4,INDEX($C$2:$F$11,C$13,0)))),1000000)</f>
        <v>1000000</v>
      </c>
      <c r="D16" s="18">
        <f>IFERROR(IF($A16=D$13,1000000,SQRT(SUMXMY2($C4:$F4,INDEX($C$2:$F$11,D$13,0)))),1000000)</f>
        <v>1000000</v>
      </c>
      <c r="E16" s="18">
        <f>IFERROR(IF($A16=E$13,1000000,SQRT(SUMXMY2($C4:$F4,INDEX($C$2:$F$11,E$13,0)))),1000000)</f>
        <v>1000000</v>
      </c>
      <c r="F16" s="18">
        <f>IFERROR(IF($A16=F$13,1000000,SQRT(SUMXMY2($C4:$F4,INDEX($C$2:$F$11,F$13,0)))),1000000)</f>
        <v>1000000</v>
      </c>
      <c r="G16" s="18">
        <f>IFERROR(IF($A16=G$13,1000000,SQRT(SUMXMY2($C4:$F4,INDEX($C$2:$F$11,G$13,0)))),1000000)</f>
        <v>1000000</v>
      </c>
      <c r="H16" s="18">
        <f>IFERROR(IF($A16=H$13,1000000,SQRT(SUMXMY2($C4:$F4,INDEX($C$2:$F$11,H$13,0)))),1000000)</f>
        <v>202.79900764057</v>
      </c>
      <c r="I16" s="18">
        <f>IFERROR(IF($A16=I$13,1000000,SQRT(SUMXMY2($C4:$F4,INDEX($C$2:$F$11,I$13,0)))),1000000)</f>
        <v>1000000</v>
      </c>
      <c r="J16" s="18">
        <f>IFERROR(IF($A16=J$13,1000000,SQRT(SUMXMY2($C4:$F4,INDEX($C$2:$F$11,J$13,0)))),1000000)</f>
        <v>1000000</v>
      </c>
      <c r="K16" s="18">
        <f>IFERROR(IF($A16=K$13,1000000,SQRT(SUMXMY2($C4:$F4,INDEX($C$2:$F$11,K$13,0)))),1000000)</f>
        <v>101.557557572049</v>
      </c>
      <c r="L16" s="20" t="e">
        <f t="shared" si="0"/>
        <v>#N/A</v>
      </c>
    </row>
    <row r="17" spans="1:12">
      <c r="A17" s="17">
        <v>4</v>
      </c>
      <c r="B17" s="18">
        <f>IFERROR(IF($A17=B$13,1000000,SQRT(SUMXMY2($C5:$F5,INDEX($C$2:$F$11,B$13,0)))),1000000)</f>
        <v>1000000</v>
      </c>
      <c r="C17" s="18">
        <f>IFERROR(IF($A17=C$13,1000000,SQRT(SUMXMY2($C5:$F5,INDEX($C$2:$F$11,C$13,0)))),1000000)</f>
        <v>1000000</v>
      </c>
      <c r="D17" s="18">
        <f>IFERROR(IF($A17=D$13,1000000,SQRT(SUMXMY2($C5:$F5,INDEX($C$2:$F$11,D$13,0)))),1000000)</f>
        <v>1000000</v>
      </c>
      <c r="E17" s="18">
        <f>IFERROR(IF($A17=E$13,1000000,SQRT(SUMXMY2($C5:$F5,INDEX($C$2:$F$11,E$13,0)))),1000000)</f>
        <v>1000000</v>
      </c>
      <c r="F17" s="18">
        <f>IFERROR(IF($A17=F$13,1000000,SQRT(SUMXMY2($C5:$F5,INDEX($C$2:$F$11,F$13,0)))),1000000)</f>
        <v>1000000</v>
      </c>
      <c r="G17" s="18">
        <f>IFERROR(IF($A17=G$13,1000000,SQRT(SUMXMY2($C5:$F5,INDEX($C$2:$F$11,G$13,0)))),1000000)</f>
        <v>1000000</v>
      </c>
      <c r="H17" s="18">
        <f>IFERROR(IF($A17=H$13,1000000,SQRT(SUMXMY2($C5:$F5,INDEX($C$2:$F$11,H$13,0)))),1000000)</f>
        <v>1000000</v>
      </c>
      <c r="I17" s="18">
        <f>IFERROR(IF($A17=I$13,1000000,SQRT(SUMXMY2($C5:$F5,INDEX($C$2:$F$11,I$13,0)))),1000000)</f>
        <v>1000000</v>
      </c>
      <c r="J17" s="18">
        <f>IFERROR(IF($A17=J$13,1000000,SQRT(SUMXMY2($C5:$F5,INDEX($C$2:$F$11,J$13,0)))),1000000)</f>
        <v>1000000</v>
      </c>
      <c r="K17" s="18">
        <f>IFERROR(IF($A17=K$13,1000000,SQRT(SUMXMY2($C5:$F5,INDEX($C$2:$F$11,K$13,0)))),1000000)</f>
        <v>1000000</v>
      </c>
      <c r="L17" s="20" t="e">
        <f t="shared" si="0"/>
        <v>#N/A</v>
      </c>
    </row>
    <row r="18" spans="1:12">
      <c r="A18" s="17">
        <v>5</v>
      </c>
      <c r="B18" s="18">
        <f>IFERROR(IF($A18=B$13,1000000,SQRT(SUMXMY2($C6:$F6,INDEX($C$2:$F$11,B$13,0)))),1000000)</f>
        <v>1000000</v>
      </c>
      <c r="C18" s="18">
        <f>IFERROR(IF($A18=C$13,1000000,SQRT(SUMXMY2($C6:$F6,INDEX($C$2:$F$11,C$13,0)))),1000000)</f>
        <v>1000000</v>
      </c>
      <c r="D18" s="18">
        <f>IFERROR(IF($A18=D$13,1000000,SQRT(SUMXMY2($C6:$F6,INDEX($C$2:$F$11,D$13,0)))),1000000)</f>
        <v>1000000</v>
      </c>
      <c r="E18" s="18">
        <f>IFERROR(IF($A18=E$13,1000000,SQRT(SUMXMY2($C6:$F6,INDEX($C$2:$F$11,E$13,0)))),1000000)</f>
        <v>1000000</v>
      </c>
      <c r="F18" s="18">
        <f>IFERROR(IF($A18=F$13,1000000,SQRT(SUMXMY2($C6:$F6,INDEX($C$2:$F$11,F$13,0)))),1000000)</f>
        <v>1000000</v>
      </c>
      <c r="G18" s="18">
        <f>IFERROR(IF($A18=G$13,1000000,SQRT(SUMXMY2($C6:$F6,INDEX($C$2:$F$11,G$13,0)))),1000000)</f>
        <v>1000000</v>
      </c>
      <c r="H18" s="18">
        <f>IFERROR(IF($A18=H$13,1000000,SQRT(SUMXMY2($C6:$F6,INDEX($C$2:$F$11,H$13,0)))),1000000)</f>
        <v>1000000</v>
      </c>
      <c r="I18" s="18">
        <f>IFERROR(IF($A18=I$13,1000000,SQRT(SUMXMY2($C6:$F6,INDEX($C$2:$F$11,I$13,0)))),1000000)</f>
        <v>1000000</v>
      </c>
      <c r="J18" s="18">
        <f>IFERROR(IF($A18=J$13,1000000,SQRT(SUMXMY2($C6:$F6,INDEX($C$2:$F$11,J$13,0)))),1000000)</f>
        <v>1000000</v>
      </c>
      <c r="K18" s="18">
        <f>IFERROR(IF($A18=K$13,1000000,SQRT(SUMXMY2($C6:$F6,INDEX($C$2:$F$11,K$13,0)))),1000000)</f>
        <v>1000000</v>
      </c>
      <c r="L18" s="20" t="e">
        <f t="shared" si="0"/>
        <v>#N/A</v>
      </c>
    </row>
    <row r="19" spans="1:12">
      <c r="A19" s="17">
        <v>6</v>
      </c>
      <c r="B19" s="18">
        <f>IFERROR(IF($A19=B$13,1000000,SQRT(SUMXMY2($C7:$F7,INDEX($C$2:$F$11,B$13,0)))),1000000)</f>
        <v>1000000</v>
      </c>
      <c r="C19" s="18">
        <f>IFERROR(IF($A19=C$13,1000000,SQRT(SUMXMY2($C7:$F7,INDEX($C$2:$F$11,C$13,0)))),1000000)</f>
        <v>1000000</v>
      </c>
      <c r="D19" s="18">
        <f>IFERROR(IF($A19=D$13,1000000,SQRT(SUMXMY2($C7:$F7,INDEX($C$2:$F$11,D$13,0)))),1000000)</f>
        <v>1000000</v>
      </c>
      <c r="E19" s="18">
        <f>IFERROR(IF($A19=E$13,1000000,SQRT(SUMXMY2($C7:$F7,INDEX($C$2:$F$11,E$13,0)))),1000000)</f>
        <v>1000000</v>
      </c>
      <c r="F19" s="18">
        <f>IFERROR(IF($A19=F$13,1000000,SQRT(SUMXMY2($C7:$F7,INDEX($C$2:$F$11,F$13,0)))),1000000)</f>
        <v>1000000</v>
      </c>
      <c r="G19" s="18">
        <f>IFERROR(IF($A19=G$13,1000000,SQRT(SUMXMY2($C7:$F7,INDEX($C$2:$F$11,G$13,0)))),1000000)</f>
        <v>1000000</v>
      </c>
      <c r="H19" s="18">
        <f>IFERROR(IF($A19=H$13,1000000,SQRT(SUMXMY2($C7:$F7,INDEX($C$2:$F$11,H$13,0)))),1000000)</f>
        <v>1000000</v>
      </c>
      <c r="I19" s="18">
        <f>IFERROR(IF($A19=I$13,1000000,SQRT(SUMXMY2($C7:$F7,INDEX($C$2:$F$11,I$13,0)))),1000000)</f>
        <v>1000000</v>
      </c>
      <c r="J19" s="18">
        <f>IFERROR(IF($A19=J$13,1000000,SQRT(SUMXMY2($C7:$F7,INDEX($C$2:$F$11,J$13,0)))),1000000)</f>
        <v>1000000</v>
      </c>
      <c r="K19" s="18">
        <f>IFERROR(IF($A19=K$13,1000000,SQRT(SUMXMY2($C7:$F7,INDEX($C$2:$F$11,K$13,0)))),1000000)</f>
        <v>1000000</v>
      </c>
      <c r="L19" s="20" t="e">
        <f t="shared" si="0"/>
        <v>#N/A</v>
      </c>
    </row>
    <row r="20" spans="1:12">
      <c r="A20" s="17">
        <v>7</v>
      </c>
      <c r="B20" s="18">
        <f>IFERROR(IF($A20=B$13,1000000,SQRT(SUMXMY2($C8:$F8,INDEX($C$2:$F$11,B$13,0)))),1000000)</f>
        <v>151.015313793006</v>
      </c>
      <c r="C20" s="18">
        <f>IFERROR(IF($A20=C$13,1000000,SQRT(SUMXMY2($C8:$F8,INDEX($C$2:$F$11,C$13,0)))),1000000)</f>
        <v>1000000</v>
      </c>
      <c r="D20" s="18">
        <f>IFERROR(IF($A20=D$13,1000000,SQRT(SUMXMY2($C8:$F8,INDEX($C$2:$F$11,D$13,0)))),1000000)</f>
        <v>202.79900764057</v>
      </c>
      <c r="E20" s="18">
        <f>IFERROR(IF($A20=E$13,1000000,SQRT(SUMXMY2($C8:$F8,INDEX($C$2:$F$11,E$13,0)))),1000000)</f>
        <v>1000000</v>
      </c>
      <c r="F20" s="18">
        <f>IFERROR(IF($A20=F$13,1000000,SQRT(SUMXMY2($C8:$F8,INDEX($C$2:$F$11,F$13,0)))),1000000)</f>
        <v>1000000</v>
      </c>
      <c r="G20" s="18">
        <f>IFERROR(IF($A20=G$13,1000000,SQRT(SUMXMY2($C8:$F8,INDEX($C$2:$F$11,G$13,0)))),1000000)</f>
        <v>1000000</v>
      </c>
      <c r="H20" s="18">
        <f>IFERROR(IF($A20=H$13,1000000,SQRT(SUMXMY2($C8:$F8,INDEX($C$2:$F$11,H$13,0)))),1000000)</f>
        <v>1000000</v>
      </c>
      <c r="I20" s="18">
        <f>IFERROR(IF($A20=I$13,1000000,SQRT(SUMXMY2($C8:$F8,INDEX($C$2:$F$11,I$13,0)))),1000000)</f>
        <v>1000000</v>
      </c>
      <c r="J20" s="18">
        <f>IFERROR(IF($A20=J$13,1000000,SQRT(SUMXMY2($C8:$F8,INDEX($C$2:$F$11,J$13,0)))),1000000)</f>
        <v>1000000</v>
      </c>
      <c r="K20" s="18">
        <f>IFERROR(IF($A20=K$13,1000000,SQRT(SUMXMY2($C8:$F8,INDEX($C$2:$F$11,K$13,0)))),1000000)</f>
        <v>106.037729134493</v>
      </c>
      <c r="L20" s="20" t="e">
        <f t="shared" si="0"/>
        <v>#N/A</v>
      </c>
    </row>
    <row r="21" spans="1:12">
      <c r="A21" s="17">
        <v>8</v>
      </c>
      <c r="B21" s="18">
        <f>IFERROR(IF($A21=B$13,1000000,SQRT(SUMXMY2($C9:$F9,INDEX($C$2:$F$11,B$13,0)))),1000000)</f>
        <v>1000000</v>
      </c>
      <c r="C21" s="18">
        <f>IFERROR(IF($A21=C$13,1000000,SQRT(SUMXMY2($C9:$F9,INDEX($C$2:$F$11,C$13,0)))),1000000)</f>
        <v>1000000</v>
      </c>
      <c r="D21" s="18">
        <f>IFERROR(IF($A21=D$13,1000000,SQRT(SUMXMY2($C9:$F9,INDEX($C$2:$F$11,D$13,0)))),1000000)</f>
        <v>1000000</v>
      </c>
      <c r="E21" s="18">
        <f>IFERROR(IF($A21=E$13,1000000,SQRT(SUMXMY2($C9:$F9,INDEX($C$2:$F$11,E$13,0)))),1000000)</f>
        <v>1000000</v>
      </c>
      <c r="F21" s="18">
        <f>IFERROR(IF($A21=F$13,1000000,SQRT(SUMXMY2($C9:$F9,INDEX($C$2:$F$11,F$13,0)))),1000000)</f>
        <v>1000000</v>
      </c>
      <c r="G21" s="18">
        <f>IFERROR(IF($A21=G$13,1000000,SQRT(SUMXMY2($C9:$F9,INDEX($C$2:$F$11,G$13,0)))),1000000)</f>
        <v>1000000</v>
      </c>
      <c r="H21" s="18">
        <f>IFERROR(IF($A21=H$13,1000000,SQRT(SUMXMY2($C9:$F9,INDEX($C$2:$F$11,H$13,0)))),1000000)</f>
        <v>1000000</v>
      </c>
      <c r="I21" s="18">
        <f>IFERROR(IF($A21=I$13,1000000,SQRT(SUMXMY2($C9:$F9,INDEX($C$2:$F$11,I$13,0)))),1000000)</f>
        <v>1000000</v>
      </c>
      <c r="J21" s="18">
        <f>IFERROR(IF($A21=J$13,1000000,SQRT(SUMXMY2($C9:$F9,INDEX($C$2:$F$11,J$13,0)))),1000000)</f>
        <v>1000000</v>
      </c>
      <c r="K21" s="18">
        <f>IFERROR(IF($A21=K$13,1000000,SQRT(SUMXMY2($C9:$F9,INDEX($C$2:$F$11,K$13,0)))),1000000)</f>
        <v>1000000</v>
      </c>
      <c r="L21" s="20" t="e">
        <f t="shared" si="0"/>
        <v>#N/A</v>
      </c>
    </row>
    <row r="22" spans="1:12">
      <c r="A22" s="17">
        <v>9</v>
      </c>
      <c r="B22" s="18">
        <f>IFERROR(IF($A22=B$13,1000000,SQRT(SUMXMY2($C10:$F10,INDEX($C$2:$F$11,B$13,0)))),1000000)</f>
        <v>1000000</v>
      </c>
      <c r="C22" s="18">
        <f>IFERROR(IF($A22=C$13,1000000,SQRT(SUMXMY2($C10:$F10,INDEX($C$2:$F$11,C$13,0)))),1000000)</f>
        <v>1000000</v>
      </c>
      <c r="D22" s="18">
        <f>IFERROR(IF($A22=D$13,1000000,SQRT(SUMXMY2($C10:$F10,INDEX($C$2:$F$11,D$13,0)))),1000000)</f>
        <v>1000000</v>
      </c>
      <c r="E22" s="18">
        <f>IFERROR(IF($A22=E$13,1000000,SQRT(SUMXMY2($C10:$F10,INDEX($C$2:$F$11,E$13,0)))),1000000)</f>
        <v>1000000</v>
      </c>
      <c r="F22" s="18">
        <f>IFERROR(IF($A22=F$13,1000000,SQRT(SUMXMY2($C10:$F10,INDEX($C$2:$F$11,F$13,0)))),1000000)</f>
        <v>1000000</v>
      </c>
      <c r="G22" s="18">
        <f>IFERROR(IF($A22=G$13,1000000,SQRT(SUMXMY2($C10:$F10,INDEX($C$2:$F$11,G$13,0)))),1000000)</f>
        <v>1000000</v>
      </c>
      <c r="H22" s="18">
        <f>IFERROR(IF($A22=H$13,1000000,SQRT(SUMXMY2($C10:$F10,INDEX($C$2:$F$11,H$13,0)))),1000000)</f>
        <v>1000000</v>
      </c>
      <c r="I22" s="18">
        <f>IFERROR(IF($A22=I$13,1000000,SQRT(SUMXMY2($C10:$F10,INDEX($C$2:$F$11,I$13,0)))),1000000)</f>
        <v>1000000</v>
      </c>
      <c r="J22" s="18">
        <f>IFERROR(IF($A22=J$13,1000000,SQRT(SUMXMY2($C10:$F10,INDEX($C$2:$F$11,J$13,0)))),1000000)</f>
        <v>1000000</v>
      </c>
      <c r="K22" s="18">
        <f>IFERROR(IF($A22=K$13,1000000,SQRT(SUMXMY2($C10:$F10,INDEX($C$2:$F$11,K$13,0)))),1000000)</f>
        <v>1000000</v>
      </c>
      <c r="L22" s="20" t="e">
        <f t="shared" si="0"/>
        <v>#N/A</v>
      </c>
    </row>
    <row r="23" spans="1:12">
      <c r="A23" s="17">
        <v>10</v>
      </c>
      <c r="B23" s="18">
        <f>IFERROR(IF($A23=B$13,1000000,SQRT(SUMXMY2($C11:$F11,INDEX($C$2:$F$11,B$13,0)))),1000000)</f>
        <v>50.1958663636758</v>
      </c>
      <c r="C23" s="18">
        <f>IFERROR(IF($A23=C$13,1000000,SQRT(SUMXMY2($C11:$F11,INDEX($C$2:$F$11,C$13,0)))),1000000)</f>
        <v>1000000</v>
      </c>
      <c r="D23" s="18">
        <f>IFERROR(IF($A23=D$13,1000000,SQRT(SUMXMY2($C11:$F11,INDEX($C$2:$F$11,D$13,0)))),1000000)</f>
        <v>101.557557572049</v>
      </c>
      <c r="E23" s="18">
        <f>IFERROR(IF($A23=E$13,1000000,SQRT(SUMXMY2($C11:$F11,INDEX($C$2:$F$11,E$13,0)))),1000000)</f>
        <v>1000000</v>
      </c>
      <c r="F23" s="18">
        <f>IFERROR(IF($A23=F$13,1000000,SQRT(SUMXMY2($C11:$F11,INDEX($C$2:$F$11,F$13,0)))),1000000)</f>
        <v>1000000</v>
      </c>
      <c r="G23" s="18">
        <f>IFERROR(IF($A23=G$13,1000000,SQRT(SUMXMY2($C11:$F11,INDEX($C$2:$F$11,G$13,0)))),1000000)</f>
        <v>1000000</v>
      </c>
      <c r="H23" s="18">
        <f>IFERROR(IF($A23=H$13,1000000,SQRT(SUMXMY2($C11:$F11,INDEX($C$2:$F$11,H$13,0)))),1000000)</f>
        <v>106.037729134493</v>
      </c>
      <c r="I23" s="18">
        <f>IFERROR(IF($A23=I$13,1000000,SQRT(SUMXMY2($C11:$F11,INDEX($C$2:$F$11,I$13,0)))),1000000)</f>
        <v>1000000</v>
      </c>
      <c r="J23" s="18">
        <f>IFERROR(IF($A23=J$13,1000000,SQRT(SUMXMY2($C11:$F11,INDEX($C$2:$F$11,J$13,0)))),1000000)</f>
        <v>1000000</v>
      </c>
      <c r="K23" s="18">
        <f>IFERROR(IF($A23=K$13,1000000,SQRT(SUMXMY2($C11:$F11,INDEX($C$2:$F$11,K$13,0)))),1000000)</f>
        <v>1000000</v>
      </c>
      <c r="L23" s="20">
        <f t="shared" si="0"/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workbookViewId="0">
      <selection activeCell="J31" sqref="J31"/>
    </sheetView>
  </sheetViews>
  <sheetFormatPr defaultColWidth="9" defaultRowHeight="15"/>
  <cols>
    <col min="1" max="1" width="9" style="1"/>
    <col min="2" max="2" width="12.8571428571429" style="1"/>
    <col min="3" max="3" width="9" style="1"/>
    <col min="4" max="4" width="12.8571428571429" style="1"/>
    <col min="5" max="7" width="9" style="1"/>
    <col min="8" max="8" width="12.8571428571429" style="1"/>
    <col min="9" max="16384" width="9" style="1"/>
  </cols>
  <sheetData>
    <row r="1" spans="1:1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4">
      <c r="A2" s="4">
        <v>1</v>
      </c>
      <c r="B2" s="1" t="s">
        <v>16</v>
      </c>
      <c r="C2" s="1">
        <v>8.8</v>
      </c>
      <c r="D2" s="1">
        <v>174.8</v>
      </c>
      <c r="E2" s="1">
        <v>60.2</v>
      </c>
      <c r="F2" s="1">
        <v>22.8</v>
      </c>
      <c r="G2" s="1">
        <v>11</v>
      </c>
      <c r="H2" s="1">
        <v>1</v>
      </c>
      <c r="I2" s="1">
        <v>1</v>
      </c>
      <c r="J2" s="8">
        <v>1</v>
      </c>
      <c r="K2" s="8">
        <v>1</v>
      </c>
      <c r="L2" s="8">
        <v>1</v>
      </c>
      <c r="M2" s="8">
        <v>1</v>
      </c>
      <c r="N2" s="10">
        <v>1</v>
      </c>
    </row>
    <row r="3" spans="1:14">
      <c r="A3" s="4">
        <v>2</v>
      </c>
      <c r="B3" s="1" t="s">
        <v>24</v>
      </c>
      <c r="G3" s="1">
        <v>12</v>
      </c>
      <c r="H3" s="1">
        <v>12</v>
      </c>
      <c r="I3" s="1">
        <v>12</v>
      </c>
      <c r="J3" s="8">
        <v>12</v>
      </c>
      <c r="K3" s="8">
        <v>12</v>
      </c>
      <c r="L3" s="8">
        <v>12</v>
      </c>
      <c r="M3" s="8">
        <v>2</v>
      </c>
      <c r="N3" s="10">
        <v>2</v>
      </c>
    </row>
    <row r="4" spans="1:14">
      <c r="A4" s="4">
        <v>3</v>
      </c>
      <c r="B4" s="1" t="s">
        <v>21</v>
      </c>
      <c r="C4" s="1">
        <v>8.75</v>
      </c>
      <c r="D4" s="1">
        <v>235.5</v>
      </c>
      <c r="E4" s="1">
        <v>67.75</v>
      </c>
      <c r="F4" s="1">
        <v>35.25</v>
      </c>
      <c r="G4" s="1">
        <v>13</v>
      </c>
      <c r="H4" s="1">
        <v>13</v>
      </c>
      <c r="I4" s="1">
        <v>2</v>
      </c>
      <c r="J4" s="8">
        <v>2</v>
      </c>
      <c r="K4" s="8">
        <v>2</v>
      </c>
      <c r="L4" s="8">
        <v>2</v>
      </c>
      <c r="M4" s="8">
        <v>2</v>
      </c>
      <c r="N4" s="10">
        <v>2</v>
      </c>
    </row>
    <row r="5" spans="1:14">
      <c r="A5" s="4">
        <v>4</v>
      </c>
      <c r="B5" s="1" t="s">
        <v>17</v>
      </c>
      <c r="G5" s="1">
        <v>14</v>
      </c>
      <c r="H5" s="1">
        <v>1</v>
      </c>
      <c r="I5" s="1">
        <v>1</v>
      </c>
      <c r="J5" s="8">
        <v>1</v>
      </c>
      <c r="K5" s="8">
        <v>1</v>
      </c>
      <c r="L5" s="8">
        <v>1</v>
      </c>
      <c r="M5" s="8">
        <v>1</v>
      </c>
      <c r="N5" s="10">
        <v>1</v>
      </c>
    </row>
    <row r="6" spans="1:14">
      <c r="A6" s="4">
        <v>5</v>
      </c>
      <c r="B6" s="1" t="s">
        <v>22</v>
      </c>
      <c r="G6" s="1">
        <v>15</v>
      </c>
      <c r="H6" s="1">
        <v>15</v>
      </c>
      <c r="I6" s="1">
        <v>2</v>
      </c>
      <c r="J6" s="8">
        <v>2</v>
      </c>
      <c r="K6" s="8">
        <v>2</v>
      </c>
      <c r="L6" s="8">
        <v>2</v>
      </c>
      <c r="M6" s="8">
        <v>2</v>
      </c>
      <c r="N6" s="10">
        <v>2</v>
      </c>
    </row>
    <row r="7" spans="1:14">
      <c r="A7" s="4">
        <v>6</v>
      </c>
      <c r="B7" s="1" t="s">
        <v>19</v>
      </c>
      <c r="G7" s="1">
        <v>16</v>
      </c>
      <c r="H7" s="1">
        <v>16</v>
      </c>
      <c r="I7" s="1">
        <v>16</v>
      </c>
      <c r="J7" s="8">
        <v>16</v>
      </c>
      <c r="K7" s="8">
        <v>1</v>
      </c>
      <c r="L7" s="8">
        <v>1</v>
      </c>
      <c r="M7" s="8">
        <v>1</v>
      </c>
      <c r="N7" s="10">
        <v>1</v>
      </c>
    </row>
    <row r="8" spans="1:14">
      <c r="A8" s="4">
        <v>7</v>
      </c>
      <c r="B8" s="1" t="s">
        <v>25</v>
      </c>
      <c r="C8" s="1">
        <v>0</v>
      </c>
      <c r="D8" s="1">
        <v>35</v>
      </c>
      <c r="E8" s="1">
        <v>75</v>
      </c>
      <c r="F8" s="1">
        <v>7</v>
      </c>
      <c r="G8" s="1">
        <v>17</v>
      </c>
      <c r="H8" s="1">
        <v>17</v>
      </c>
      <c r="I8" s="1">
        <v>17</v>
      </c>
      <c r="J8" s="8">
        <v>17</v>
      </c>
      <c r="K8" s="8">
        <v>17</v>
      </c>
      <c r="L8" s="8">
        <v>17</v>
      </c>
      <c r="M8" s="8">
        <v>17</v>
      </c>
      <c r="N8" s="10">
        <v>17</v>
      </c>
    </row>
    <row r="9" spans="1:14">
      <c r="A9" s="4">
        <v>8</v>
      </c>
      <c r="B9" s="1" t="s">
        <v>18</v>
      </c>
      <c r="G9" s="1">
        <v>18</v>
      </c>
      <c r="H9" s="1">
        <v>18</v>
      </c>
      <c r="I9" s="1">
        <v>18</v>
      </c>
      <c r="J9" s="8">
        <v>1</v>
      </c>
      <c r="K9" s="8">
        <v>1</v>
      </c>
      <c r="L9" s="8">
        <v>1</v>
      </c>
      <c r="M9" s="8">
        <v>1</v>
      </c>
      <c r="N9" s="10">
        <v>1</v>
      </c>
    </row>
    <row r="10" spans="1:14">
      <c r="A10" s="4">
        <v>9</v>
      </c>
      <c r="B10" s="1" t="s">
        <v>23</v>
      </c>
      <c r="G10" s="1">
        <v>19</v>
      </c>
      <c r="H10" s="1">
        <v>19</v>
      </c>
      <c r="I10" s="1">
        <v>19</v>
      </c>
      <c r="J10" s="8">
        <v>19</v>
      </c>
      <c r="K10" s="8">
        <v>2</v>
      </c>
      <c r="L10" s="8">
        <v>2</v>
      </c>
      <c r="M10" s="8">
        <v>2</v>
      </c>
      <c r="N10" s="10">
        <v>2</v>
      </c>
    </row>
    <row r="11" spans="1:14">
      <c r="A11" s="5">
        <v>10</v>
      </c>
      <c r="B11" s="1" t="s">
        <v>20</v>
      </c>
      <c r="G11" s="1">
        <v>20</v>
      </c>
      <c r="H11" s="1">
        <v>20</v>
      </c>
      <c r="I11" s="1">
        <v>20</v>
      </c>
      <c r="J11" s="8">
        <v>20</v>
      </c>
      <c r="K11" s="8">
        <v>20</v>
      </c>
      <c r="L11" s="8">
        <v>20</v>
      </c>
      <c r="M11" s="8">
        <v>20</v>
      </c>
      <c r="N11" s="10">
        <v>1</v>
      </c>
    </row>
    <row r="13" spans="2:11"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</row>
    <row r="14" spans="1:17">
      <c r="A14" s="6">
        <v>1</v>
      </c>
      <c r="B14" s="7">
        <f>IFERROR(IF($A14=B$13,1000000,SQRT(SUMXMY2($C2:$F2,INDEX($C$2:$F$11,B$13,0)))),1000000)</f>
        <v>1000000</v>
      </c>
      <c r="C14" s="7">
        <f>IFERROR(IF($A14=C$13,1000000,SQRT(SUMXMY2($C2:$F2,INDEX($C$2:$F$11,C$13,0)))),1000000)</f>
        <v>1000000</v>
      </c>
      <c r="D14" s="7">
        <f>IFERROR(IF($A14=D$13,1000000,SQRT(SUMXMY2($C2:$F2,INDEX($C$2:$F$11,D$13,0)))),1000000)</f>
        <v>62.4219312421524</v>
      </c>
      <c r="E14" s="7">
        <f>IFERROR(IF($A14=E$13,1000000,SQRT(SUMXMY2($C2:$F2,INDEX($C$2:$F$11,E$13,0)))),1000000)</f>
        <v>1000000</v>
      </c>
      <c r="F14" s="7">
        <f>IFERROR(IF($A14=F$13,1000000,SQRT(SUMXMY2($C2:$F2,INDEX($C$2:$F$11,F$13,0)))),1000000)</f>
        <v>1000000</v>
      </c>
      <c r="G14" s="7">
        <f>IFERROR(IF($A14=G$13,1000000,SQRT(SUMXMY2($C2:$F2,INDEX($C$2:$F$11,G$13,0)))),1000000)</f>
        <v>1000000</v>
      </c>
      <c r="H14" s="7">
        <f>IFERROR(IF($A14=H$13,1000000,SQRT(SUMXMY2($C2:$F2,INDEX($C$2:$F$11,H$13,0)))),1000000)</f>
        <v>141.739761535005</v>
      </c>
      <c r="I14" s="7">
        <f>IFERROR(IF($A14=I$13,1000000,SQRT(SUMXMY2($C2:$F2,INDEX($C$2:$F$11,I$13,0)))),1000000)</f>
        <v>1000000</v>
      </c>
      <c r="J14" s="7">
        <f>IFERROR(IF($A14=J$13,1000000,SQRT(SUMXMY2($C2:$F2,INDEX($C$2:$F$11,J$13,0)))),1000000)</f>
        <v>1000000</v>
      </c>
      <c r="K14" s="7">
        <f>IFERROR(IF($A14=K$13,1000000,SQRT(SUMXMY2($C2:$F2,INDEX($C$2:$F$11,K$13,0)))),1000000)</f>
        <v>1000000</v>
      </c>
      <c r="L14" s="9">
        <f t="shared" ref="L14:L23" si="0">MATCH(MIN($B$14:$K$23),B14:K14,0)</f>
        <v>3</v>
      </c>
      <c r="N14" s="9">
        <f t="shared" ref="N14:Q14" si="1">SUM(C2*4,C11)/5</f>
        <v>7.04</v>
      </c>
      <c r="O14" s="9">
        <f t="shared" si="1"/>
        <v>139.84</v>
      </c>
      <c r="P14" s="9">
        <f t="shared" si="1"/>
        <v>48.16</v>
      </c>
      <c r="Q14" s="9">
        <f t="shared" si="1"/>
        <v>18.24</v>
      </c>
    </row>
    <row r="15" spans="1:17">
      <c r="A15" s="6">
        <v>2</v>
      </c>
      <c r="B15" s="7">
        <f>IFERROR(IF($A15=B$13,1000000,SQRT(SUMXMY2($C3:$F3,INDEX($C$2:$F$11,B$13,0)))),1000000)</f>
        <v>1000000</v>
      </c>
      <c r="C15" s="7">
        <f>IFERROR(IF($A15=C$13,1000000,SQRT(SUMXMY2($C3:$F3,INDEX($C$2:$F$11,C$13,0)))),1000000)</f>
        <v>1000000</v>
      </c>
      <c r="D15" s="7">
        <f>IFERROR(IF($A15=D$13,1000000,SQRT(SUMXMY2($C3:$F3,INDEX($C$2:$F$11,D$13,0)))),1000000)</f>
        <v>1000000</v>
      </c>
      <c r="E15" s="7">
        <f>IFERROR(IF($A15=E$13,1000000,SQRT(SUMXMY2($C3:$F3,INDEX($C$2:$F$11,E$13,0)))),1000000)</f>
        <v>1000000</v>
      </c>
      <c r="F15" s="7">
        <f>IFERROR(IF($A15=F$13,1000000,SQRT(SUMXMY2($C3:$F3,INDEX($C$2:$F$11,F$13,0)))),1000000)</f>
        <v>1000000</v>
      </c>
      <c r="G15" s="7">
        <f>IFERROR(IF($A15=G$13,1000000,SQRT(SUMXMY2($C3:$F3,INDEX($C$2:$F$11,G$13,0)))),1000000)</f>
        <v>1000000</v>
      </c>
      <c r="H15" s="7">
        <f>IFERROR(IF($A15=H$13,1000000,SQRT(SUMXMY2($C3:$F3,INDEX($C$2:$F$11,H$13,0)))),1000000)</f>
        <v>1000000</v>
      </c>
      <c r="I15" s="7">
        <f>IFERROR(IF($A15=I$13,1000000,SQRT(SUMXMY2($C3:$F3,INDEX($C$2:$F$11,I$13,0)))),1000000)</f>
        <v>1000000</v>
      </c>
      <c r="J15" s="7">
        <f>IFERROR(IF($A15=J$13,1000000,SQRT(SUMXMY2($C3:$F3,INDEX($C$2:$F$11,J$13,0)))),1000000)</f>
        <v>1000000</v>
      </c>
      <c r="K15" s="7">
        <f>IFERROR(IF($A15=K$13,1000000,SQRT(SUMXMY2($C3:$F3,INDEX($C$2:$F$11,K$13,0)))),1000000)</f>
        <v>1000000</v>
      </c>
      <c r="L15" s="9" t="e">
        <f t="shared" si="0"/>
        <v>#N/A</v>
      </c>
      <c r="N15" s="1">
        <v>8.8</v>
      </c>
      <c r="O15" s="1">
        <v>174.8</v>
      </c>
      <c r="P15" s="1">
        <v>60.2</v>
      </c>
      <c r="Q15" s="1">
        <v>22.8</v>
      </c>
    </row>
    <row r="16" spans="1:12">
      <c r="A16" s="6">
        <v>3</v>
      </c>
      <c r="B16" s="7">
        <f>IFERROR(IF($A16=B$13,1000000,SQRT(SUMXMY2($C4:$F4,INDEX($C$2:$F$11,B$13,0)))),1000000)</f>
        <v>62.4219312421524</v>
      </c>
      <c r="C16" s="7">
        <f>IFERROR(IF($A16=C$13,1000000,SQRT(SUMXMY2($C4:$F4,INDEX($C$2:$F$11,C$13,0)))),1000000)</f>
        <v>1000000</v>
      </c>
      <c r="D16" s="7">
        <f>IFERROR(IF($A16=D$13,1000000,SQRT(SUMXMY2($C4:$F4,INDEX($C$2:$F$11,D$13,0)))),1000000)</f>
        <v>1000000</v>
      </c>
      <c r="E16" s="7">
        <f>IFERROR(IF($A16=E$13,1000000,SQRT(SUMXMY2($C4:$F4,INDEX($C$2:$F$11,E$13,0)))),1000000)</f>
        <v>1000000</v>
      </c>
      <c r="F16" s="7">
        <f>IFERROR(IF($A16=F$13,1000000,SQRT(SUMXMY2($C4:$F4,INDEX($C$2:$F$11,F$13,0)))),1000000)</f>
        <v>1000000</v>
      </c>
      <c r="G16" s="7">
        <f>IFERROR(IF($A16=G$13,1000000,SQRT(SUMXMY2($C4:$F4,INDEX($C$2:$F$11,G$13,0)))),1000000)</f>
        <v>1000000</v>
      </c>
      <c r="H16" s="7">
        <f>IFERROR(IF($A16=H$13,1000000,SQRT(SUMXMY2($C4:$F4,INDEX($C$2:$F$11,H$13,0)))),1000000)</f>
        <v>202.79900764057</v>
      </c>
      <c r="I16" s="7">
        <f>IFERROR(IF($A16=I$13,1000000,SQRT(SUMXMY2($C4:$F4,INDEX($C$2:$F$11,I$13,0)))),1000000)</f>
        <v>1000000</v>
      </c>
      <c r="J16" s="7">
        <f>IFERROR(IF($A16=J$13,1000000,SQRT(SUMXMY2($C4:$F4,INDEX($C$2:$F$11,J$13,0)))),1000000)</f>
        <v>1000000</v>
      </c>
      <c r="K16" s="7">
        <f>IFERROR(IF($A16=K$13,1000000,SQRT(SUMXMY2($C4:$F4,INDEX($C$2:$F$11,K$13,0)))),1000000)</f>
        <v>1000000</v>
      </c>
      <c r="L16" s="9">
        <f t="shared" si="0"/>
        <v>1</v>
      </c>
    </row>
    <row r="17" spans="1:12">
      <c r="A17" s="6">
        <v>4</v>
      </c>
      <c r="B17" s="7">
        <f>IFERROR(IF($A17=B$13,1000000,SQRT(SUMXMY2($C5:$F5,INDEX($C$2:$F$11,B$13,0)))),1000000)</f>
        <v>1000000</v>
      </c>
      <c r="C17" s="7">
        <f>IFERROR(IF($A17=C$13,1000000,SQRT(SUMXMY2($C5:$F5,INDEX($C$2:$F$11,C$13,0)))),1000000)</f>
        <v>1000000</v>
      </c>
      <c r="D17" s="7">
        <f>IFERROR(IF($A17=D$13,1000000,SQRT(SUMXMY2($C5:$F5,INDEX($C$2:$F$11,D$13,0)))),1000000)</f>
        <v>1000000</v>
      </c>
      <c r="E17" s="7">
        <f>IFERROR(IF($A17=E$13,1000000,SQRT(SUMXMY2($C5:$F5,INDEX($C$2:$F$11,E$13,0)))),1000000)</f>
        <v>1000000</v>
      </c>
      <c r="F17" s="7">
        <f>IFERROR(IF($A17=F$13,1000000,SQRT(SUMXMY2($C5:$F5,INDEX($C$2:$F$11,F$13,0)))),1000000)</f>
        <v>1000000</v>
      </c>
      <c r="G17" s="7">
        <f>IFERROR(IF($A17=G$13,1000000,SQRT(SUMXMY2($C5:$F5,INDEX($C$2:$F$11,G$13,0)))),1000000)</f>
        <v>1000000</v>
      </c>
      <c r="H17" s="7">
        <f>IFERROR(IF($A17=H$13,1000000,SQRT(SUMXMY2($C5:$F5,INDEX($C$2:$F$11,H$13,0)))),1000000)</f>
        <v>1000000</v>
      </c>
      <c r="I17" s="7">
        <f>IFERROR(IF($A17=I$13,1000000,SQRT(SUMXMY2($C5:$F5,INDEX($C$2:$F$11,I$13,0)))),1000000)</f>
        <v>1000000</v>
      </c>
      <c r="J17" s="7">
        <f>IFERROR(IF($A17=J$13,1000000,SQRT(SUMXMY2($C5:$F5,INDEX($C$2:$F$11,J$13,0)))),1000000)</f>
        <v>1000000</v>
      </c>
      <c r="K17" s="7">
        <f>IFERROR(IF($A17=K$13,1000000,SQRT(SUMXMY2($C5:$F5,INDEX($C$2:$F$11,K$13,0)))),1000000)</f>
        <v>1000000</v>
      </c>
      <c r="L17" s="9" t="e">
        <f t="shared" si="0"/>
        <v>#N/A</v>
      </c>
    </row>
    <row r="18" spans="1:12">
      <c r="A18" s="6">
        <v>5</v>
      </c>
      <c r="B18" s="7">
        <f>IFERROR(IF($A18=B$13,1000000,SQRT(SUMXMY2($C6:$F6,INDEX($C$2:$F$11,B$13,0)))),1000000)</f>
        <v>1000000</v>
      </c>
      <c r="C18" s="7">
        <f>IFERROR(IF($A18=C$13,1000000,SQRT(SUMXMY2($C6:$F6,INDEX($C$2:$F$11,C$13,0)))),1000000)</f>
        <v>1000000</v>
      </c>
      <c r="D18" s="7">
        <f>IFERROR(IF($A18=D$13,1000000,SQRT(SUMXMY2($C6:$F6,INDEX($C$2:$F$11,D$13,0)))),1000000)</f>
        <v>1000000</v>
      </c>
      <c r="E18" s="7">
        <f>IFERROR(IF($A18=E$13,1000000,SQRT(SUMXMY2($C6:$F6,INDEX($C$2:$F$11,E$13,0)))),1000000)</f>
        <v>1000000</v>
      </c>
      <c r="F18" s="7">
        <f>IFERROR(IF($A18=F$13,1000000,SQRT(SUMXMY2($C6:$F6,INDEX($C$2:$F$11,F$13,0)))),1000000)</f>
        <v>1000000</v>
      </c>
      <c r="G18" s="7">
        <f>IFERROR(IF($A18=G$13,1000000,SQRT(SUMXMY2($C6:$F6,INDEX($C$2:$F$11,G$13,0)))),1000000)</f>
        <v>1000000</v>
      </c>
      <c r="H18" s="7">
        <f>IFERROR(IF($A18=H$13,1000000,SQRT(SUMXMY2($C6:$F6,INDEX($C$2:$F$11,H$13,0)))),1000000)</f>
        <v>1000000</v>
      </c>
      <c r="I18" s="7">
        <f>IFERROR(IF($A18=I$13,1000000,SQRT(SUMXMY2($C6:$F6,INDEX($C$2:$F$11,I$13,0)))),1000000)</f>
        <v>1000000</v>
      </c>
      <c r="J18" s="7">
        <f>IFERROR(IF($A18=J$13,1000000,SQRT(SUMXMY2($C6:$F6,INDEX($C$2:$F$11,J$13,0)))),1000000)</f>
        <v>1000000</v>
      </c>
      <c r="K18" s="7">
        <f>IFERROR(IF($A18=K$13,1000000,SQRT(SUMXMY2($C6:$F6,INDEX($C$2:$F$11,K$13,0)))),1000000)</f>
        <v>1000000</v>
      </c>
      <c r="L18" s="9" t="e">
        <f t="shared" si="0"/>
        <v>#N/A</v>
      </c>
    </row>
    <row r="19" spans="1:12">
      <c r="A19" s="6">
        <v>6</v>
      </c>
      <c r="B19" s="7">
        <f>IFERROR(IF($A19=B$13,1000000,SQRT(SUMXMY2($C7:$F7,INDEX($C$2:$F$11,B$13,0)))),1000000)</f>
        <v>1000000</v>
      </c>
      <c r="C19" s="7">
        <f>IFERROR(IF($A19=C$13,1000000,SQRT(SUMXMY2($C7:$F7,INDEX($C$2:$F$11,C$13,0)))),1000000)</f>
        <v>1000000</v>
      </c>
      <c r="D19" s="7">
        <f>IFERROR(IF($A19=D$13,1000000,SQRT(SUMXMY2($C7:$F7,INDEX($C$2:$F$11,D$13,0)))),1000000)</f>
        <v>1000000</v>
      </c>
      <c r="E19" s="7">
        <f>IFERROR(IF($A19=E$13,1000000,SQRT(SUMXMY2($C7:$F7,INDEX($C$2:$F$11,E$13,0)))),1000000)</f>
        <v>1000000</v>
      </c>
      <c r="F19" s="7">
        <f>IFERROR(IF($A19=F$13,1000000,SQRT(SUMXMY2($C7:$F7,INDEX($C$2:$F$11,F$13,0)))),1000000)</f>
        <v>1000000</v>
      </c>
      <c r="G19" s="7">
        <f>IFERROR(IF($A19=G$13,1000000,SQRT(SUMXMY2($C7:$F7,INDEX($C$2:$F$11,G$13,0)))),1000000)</f>
        <v>1000000</v>
      </c>
      <c r="H19" s="7">
        <f>IFERROR(IF($A19=H$13,1000000,SQRT(SUMXMY2($C7:$F7,INDEX($C$2:$F$11,H$13,0)))),1000000)</f>
        <v>1000000</v>
      </c>
      <c r="I19" s="7">
        <f>IFERROR(IF($A19=I$13,1000000,SQRT(SUMXMY2($C7:$F7,INDEX($C$2:$F$11,I$13,0)))),1000000)</f>
        <v>1000000</v>
      </c>
      <c r="J19" s="7">
        <f>IFERROR(IF($A19=J$13,1000000,SQRT(SUMXMY2($C7:$F7,INDEX($C$2:$F$11,J$13,0)))),1000000)</f>
        <v>1000000</v>
      </c>
      <c r="K19" s="7">
        <f>IFERROR(IF($A19=K$13,1000000,SQRT(SUMXMY2($C7:$F7,INDEX($C$2:$F$11,K$13,0)))),1000000)</f>
        <v>1000000</v>
      </c>
      <c r="L19" s="9" t="e">
        <f t="shared" si="0"/>
        <v>#N/A</v>
      </c>
    </row>
    <row r="20" spans="1:12">
      <c r="A20" s="6">
        <v>7</v>
      </c>
      <c r="B20" s="7">
        <f>IFERROR(IF($A20=B$13,1000000,SQRT(SUMXMY2($C8:$F8,INDEX($C$2:$F$11,B$13,0)))),1000000)</f>
        <v>141.739761535005</v>
      </c>
      <c r="C20" s="7">
        <f>IFERROR(IF($A20=C$13,1000000,SQRT(SUMXMY2($C8:$F8,INDEX($C$2:$F$11,C$13,0)))),1000000)</f>
        <v>1000000</v>
      </c>
      <c r="D20" s="7">
        <f>IFERROR(IF($A20=D$13,1000000,SQRT(SUMXMY2($C8:$F8,INDEX($C$2:$F$11,D$13,0)))),1000000)</f>
        <v>202.79900764057</v>
      </c>
      <c r="E20" s="7">
        <f>IFERROR(IF($A20=E$13,1000000,SQRT(SUMXMY2($C8:$F8,INDEX($C$2:$F$11,E$13,0)))),1000000)</f>
        <v>1000000</v>
      </c>
      <c r="F20" s="7">
        <f>IFERROR(IF($A20=F$13,1000000,SQRT(SUMXMY2($C8:$F8,INDEX($C$2:$F$11,F$13,0)))),1000000)</f>
        <v>1000000</v>
      </c>
      <c r="G20" s="7">
        <f>IFERROR(IF($A20=G$13,1000000,SQRT(SUMXMY2($C8:$F8,INDEX($C$2:$F$11,G$13,0)))),1000000)</f>
        <v>1000000</v>
      </c>
      <c r="H20" s="7">
        <f>IFERROR(IF($A20=H$13,1000000,SQRT(SUMXMY2($C8:$F8,INDEX($C$2:$F$11,H$13,0)))),1000000)</f>
        <v>1000000</v>
      </c>
      <c r="I20" s="7">
        <f>IFERROR(IF($A20=I$13,1000000,SQRT(SUMXMY2($C8:$F8,INDEX($C$2:$F$11,I$13,0)))),1000000)</f>
        <v>1000000</v>
      </c>
      <c r="J20" s="7">
        <f>IFERROR(IF($A20=J$13,1000000,SQRT(SUMXMY2($C8:$F8,INDEX($C$2:$F$11,J$13,0)))),1000000)</f>
        <v>1000000</v>
      </c>
      <c r="K20" s="7">
        <f>IFERROR(IF($A20=K$13,1000000,SQRT(SUMXMY2($C8:$F8,INDEX($C$2:$F$11,K$13,0)))),1000000)</f>
        <v>1000000</v>
      </c>
      <c r="L20" s="9" t="e">
        <f t="shared" si="0"/>
        <v>#N/A</v>
      </c>
    </row>
    <row r="21" spans="1:12">
      <c r="A21" s="6">
        <v>8</v>
      </c>
      <c r="B21" s="7">
        <f>IFERROR(IF($A21=B$13,1000000,SQRT(SUMXMY2($C9:$F9,INDEX($C$2:$F$11,B$13,0)))),1000000)</f>
        <v>1000000</v>
      </c>
      <c r="C21" s="7">
        <f>IFERROR(IF($A21=C$13,1000000,SQRT(SUMXMY2($C9:$F9,INDEX($C$2:$F$11,C$13,0)))),1000000)</f>
        <v>1000000</v>
      </c>
      <c r="D21" s="7">
        <f>IFERROR(IF($A21=D$13,1000000,SQRT(SUMXMY2($C9:$F9,INDEX($C$2:$F$11,D$13,0)))),1000000)</f>
        <v>1000000</v>
      </c>
      <c r="E21" s="7">
        <f>IFERROR(IF($A21=E$13,1000000,SQRT(SUMXMY2($C9:$F9,INDEX($C$2:$F$11,E$13,0)))),1000000)</f>
        <v>1000000</v>
      </c>
      <c r="F21" s="7">
        <f>IFERROR(IF($A21=F$13,1000000,SQRT(SUMXMY2($C9:$F9,INDEX($C$2:$F$11,F$13,0)))),1000000)</f>
        <v>1000000</v>
      </c>
      <c r="G21" s="7">
        <f>IFERROR(IF($A21=G$13,1000000,SQRT(SUMXMY2($C9:$F9,INDEX($C$2:$F$11,G$13,0)))),1000000)</f>
        <v>1000000</v>
      </c>
      <c r="H21" s="7">
        <f>IFERROR(IF($A21=H$13,1000000,SQRT(SUMXMY2($C9:$F9,INDEX($C$2:$F$11,H$13,0)))),1000000)</f>
        <v>1000000</v>
      </c>
      <c r="I21" s="7">
        <f>IFERROR(IF($A21=I$13,1000000,SQRT(SUMXMY2($C9:$F9,INDEX($C$2:$F$11,I$13,0)))),1000000)</f>
        <v>1000000</v>
      </c>
      <c r="J21" s="7">
        <f>IFERROR(IF($A21=J$13,1000000,SQRT(SUMXMY2($C9:$F9,INDEX($C$2:$F$11,J$13,0)))),1000000)</f>
        <v>1000000</v>
      </c>
      <c r="K21" s="7">
        <f>IFERROR(IF($A21=K$13,1000000,SQRT(SUMXMY2($C9:$F9,INDEX($C$2:$F$11,K$13,0)))),1000000)</f>
        <v>1000000</v>
      </c>
      <c r="L21" s="9" t="e">
        <f t="shared" si="0"/>
        <v>#N/A</v>
      </c>
    </row>
    <row r="22" spans="1:12">
      <c r="A22" s="6">
        <v>9</v>
      </c>
      <c r="B22" s="7">
        <f>IFERROR(IF($A22=B$13,1000000,SQRT(SUMXMY2($C10:$F10,INDEX($C$2:$F$11,B$13,0)))),1000000)</f>
        <v>1000000</v>
      </c>
      <c r="C22" s="7">
        <f>IFERROR(IF($A22=C$13,1000000,SQRT(SUMXMY2($C10:$F10,INDEX($C$2:$F$11,C$13,0)))),1000000)</f>
        <v>1000000</v>
      </c>
      <c r="D22" s="7">
        <f>IFERROR(IF($A22=D$13,1000000,SQRT(SUMXMY2($C10:$F10,INDEX($C$2:$F$11,D$13,0)))),1000000)</f>
        <v>1000000</v>
      </c>
      <c r="E22" s="7">
        <f>IFERROR(IF($A22=E$13,1000000,SQRT(SUMXMY2($C10:$F10,INDEX($C$2:$F$11,E$13,0)))),1000000)</f>
        <v>1000000</v>
      </c>
      <c r="F22" s="7">
        <f>IFERROR(IF($A22=F$13,1000000,SQRT(SUMXMY2($C10:$F10,INDEX($C$2:$F$11,F$13,0)))),1000000)</f>
        <v>1000000</v>
      </c>
      <c r="G22" s="7">
        <f>IFERROR(IF($A22=G$13,1000000,SQRT(SUMXMY2($C10:$F10,INDEX($C$2:$F$11,G$13,0)))),1000000)</f>
        <v>1000000</v>
      </c>
      <c r="H22" s="7">
        <f>IFERROR(IF($A22=H$13,1000000,SQRT(SUMXMY2($C10:$F10,INDEX($C$2:$F$11,H$13,0)))),1000000)</f>
        <v>1000000</v>
      </c>
      <c r="I22" s="7">
        <f>IFERROR(IF($A22=I$13,1000000,SQRT(SUMXMY2($C10:$F10,INDEX($C$2:$F$11,I$13,0)))),1000000)</f>
        <v>1000000</v>
      </c>
      <c r="J22" s="7">
        <f>IFERROR(IF($A22=J$13,1000000,SQRT(SUMXMY2($C10:$F10,INDEX($C$2:$F$11,J$13,0)))),1000000)</f>
        <v>1000000</v>
      </c>
      <c r="K22" s="7">
        <f>IFERROR(IF($A22=K$13,1000000,SQRT(SUMXMY2($C10:$F10,INDEX($C$2:$F$11,K$13,0)))),1000000)</f>
        <v>1000000</v>
      </c>
      <c r="L22" s="9" t="e">
        <f t="shared" si="0"/>
        <v>#N/A</v>
      </c>
    </row>
    <row r="23" spans="1:12">
      <c r="A23" s="6">
        <v>10</v>
      </c>
      <c r="B23" s="7">
        <f>IFERROR(IF($A23=B$13,1000000,SQRT(SUMXMY2($C11:$F11,INDEX($C$2:$F$11,B$13,0)))),1000000)</f>
        <v>1000000</v>
      </c>
      <c r="C23" s="7">
        <f>IFERROR(IF($A23=C$13,1000000,SQRT(SUMXMY2($C11:$F11,INDEX($C$2:$F$11,C$13,0)))),1000000)</f>
        <v>1000000</v>
      </c>
      <c r="D23" s="7">
        <f>IFERROR(IF($A23=D$13,1000000,SQRT(SUMXMY2($C11:$F11,INDEX($C$2:$F$11,D$13,0)))),1000000)</f>
        <v>1000000</v>
      </c>
      <c r="E23" s="7">
        <f>IFERROR(IF($A23=E$13,1000000,SQRT(SUMXMY2($C11:$F11,INDEX($C$2:$F$11,E$13,0)))),1000000)</f>
        <v>1000000</v>
      </c>
      <c r="F23" s="7">
        <f>IFERROR(IF($A23=F$13,1000000,SQRT(SUMXMY2($C11:$F11,INDEX($C$2:$F$11,F$13,0)))),1000000)</f>
        <v>1000000</v>
      </c>
      <c r="G23" s="7">
        <f>IFERROR(IF($A23=G$13,1000000,SQRT(SUMXMY2($C11:$F11,INDEX($C$2:$F$11,G$13,0)))),1000000)</f>
        <v>1000000</v>
      </c>
      <c r="H23" s="7">
        <f>IFERROR(IF($A23=H$13,1000000,SQRT(SUMXMY2($C11:$F11,INDEX($C$2:$F$11,H$13,0)))),1000000)</f>
        <v>1000000</v>
      </c>
      <c r="I23" s="7">
        <f>IFERROR(IF($A23=I$13,1000000,SQRT(SUMXMY2($C11:$F11,INDEX($C$2:$F$11,I$13,0)))),1000000)</f>
        <v>1000000</v>
      </c>
      <c r="J23" s="7">
        <f>IFERROR(IF($A23=J$13,1000000,SQRT(SUMXMY2($C11:$F11,INDEX($C$2:$F$11,J$13,0)))),1000000)</f>
        <v>1000000</v>
      </c>
      <c r="K23" s="7">
        <f>IFERROR(IF($A23=K$13,1000000,SQRT(SUMXMY2($C11:$F11,INDEX($C$2:$F$11,K$13,0)))),1000000)</f>
        <v>1000000</v>
      </c>
      <c r="L23" s="9" t="e">
        <f t="shared" si="0"/>
        <v>#N/A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workbookViewId="0">
      <selection activeCell="I32" sqref="I32"/>
    </sheetView>
  </sheetViews>
  <sheetFormatPr defaultColWidth="9" defaultRowHeight="15"/>
  <cols>
    <col min="1" max="1" width="9" style="1"/>
    <col min="2" max="6" width="12.8571428571429" style="1"/>
    <col min="7" max="7" width="9" style="1"/>
    <col min="8" max="8" width="12.8571428571429" style="1"/>
    <col min="9" max="13" width="9" style="1"/>
    <col min="14" max="17" width="12.8571428571429" style="1"/>
    <col min="18" max="16384" width="9" style="1"/>
  </cols>
  <sheetData>
    <row r="1" spans="1:1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5">
      <c r="A2" s="4">
        <v>1</v>
      </c>
      <c r="B2" s="1" t="s">
        <v>16</v>
      </c>
      <c r="C2" s="1">
        <v>8.77777777777778</v>
      </c>
      <c r="D2" s="1">
        <v>201.777777777778</v>
      </c>
      <c r="E2" s="1">
        <v>63.5555555555556</v>
      </c>
      <c r="F2" s="1">
        <v>28.3333333333333</v>
      </c>
      <c r="G2" s="1">
        <v>11</v>
      </c>
      <c r="H2" s="1">
        <v>1</v>
      </c>
      <c r="I2" s="1">
        <v>1</v>
      </c>
      <c r="J2" s="8">
        <v>1</v>
      </c>
      <c r="K2" s="8">
        <v>1</v>
      </c>
      <c r="L2" s="8">
        <v>1</v>
      </c>
      <c r="M2" s="8">
        <v>1</v>
      </c>
      <c r="N2" s="8">
        <v>1</v>
      </c>
      <c r="O2" s="10">
        <v>1</v>
      </c>
    </row>
    <row r="3" spans="1:15">
      <c r="A3" s="4">
        <v>2</v>
      </c>
      <c r="B3" s="1" t="s">
        <v>24</v>
      </c>
      <c r="G3" s="1">
        <v>12</v>
      </c>
      <c r="H3" s="1">
        <v>12</v>
      </c>
      <c r="I3" s="1">
        <v>12</v>
      </c>
      <c r="J3" s="8">
        <v>12</v>
      </c>
      <c r="K3" s="8">
        <v>12</v>
      </c>
      <c r="L3" s="8">
        <v>12</v>
      </c>
      <c r="M3" s="8">
        <v>2</v>
      </c>
      <c r="N3" s="8">
        <v>2</v>
      </c>
      <c r="O3" s="10">
        <v>1</v>
      </c>
    </row>
    <row r="4" spans="1:15">
      <c r="A4" s="4">
        <v>3</v>
      </c>
      <c r="B4" s="1" t="s">
        <v>21</v>
      </c>
      <c r="G4" s="1">
        <v>13</v>
      </c>
      <c r="H4" s="1">
        <v>13</v>
      </c>
      <c r="I4" s="1">
        <v>2</v>
      </c>
      <c r="J4" s="8">
        <v>2</v>
      </c>
      <c r="K4" s="8">
        <v>2</v>
      </c>
      <c r="L4" s="8">
        <v>2</v>
      </c>
      <c r="M4" s="8">
        <v>2</v>
      </c>
      <c r="N4" s="8">
        <v>2</v>
      </c>
      <c r="O4" s="10">
        <v>1</v>
      </c>
    </row>
    <row r="5" spans="1:15">
      <c r="A5" s="4">
        <v>4</v>
      </c>
      <c r="B5" s="1" t="s">
        <v>17</v>
      </c>
      <c r="G5" s="1">
        <v>14</v>
      </c>
      <c r="H5" s="1">
        <v>1</v>
      </c>
      <c r="I5" s="1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10">
        <v>1</v>
      </c>
    </row>
    <row r="6" spans="1:15">
      <c r="A6" s="4">
        <v>5</v>
      </c>
      <c r="B6" s="1" t="s">
        <v>22</v>
      </c>
      <c r="G6" s="1">
        <v>15</v>
      </c>
      <c r="H6" s="1">
        <v>15</v>
      </c>
      <c r="I6" s="1">
        <v>2</v>
      </c>
      <c r="J6" s="8">
        <v>2</v>
      </c>
      <c r="K6" s="8">
        <v>2</v>
      </c>
      <c r="L6" s="8">
        <v>2</v>
      </c>
      <c r="M6" s="8">
        <v>2</v>
      </c>
      <c r="N6" s="8">
        <v>2</v>
      </c>
      <c r="O6" s="10">
        <v>1</v>
      </c>
    </row>
    <row r="7" spans="1:15">
      <c r="A7" s="4">
        <v>6</v>
      </c>
      <c r="B7" s="1" t="s">
        <v>19</v>
      </c>
      <c r="G7" s="1">
        <v>16</v>
      </c>
      <c r="H7" s="1">
        <v>16</v>
      </c>
      <c r="I7" s="1">
        <v>16</v>
      </c>
      <c r="J7" s="8">
        <v>16</v>
      </c>
      <c r="K7" s="8">
        <v>1</v>
      </c>
      <c r="L7" s="8">
        <v>1</v>
      </c>
      <c r="M7" s="8">
        <v>1</v>
      </c>
      <c r="N7" s="8">
        <v>1</v>
      </c>
      <c r="O7" s="10">
        <v>1</v>
      </c>
    </row>
    <row r="8" spans="1:15">
      <c r="A8" s="4">
        <v>7</v>
      </c>
      <c r="B8" s="1" t="s">
        <v>25</v>
      </c>
      <c r="C8" s="1">
        <v>0</v>
      </c>
      <c r="D8" s="1">
        <v>35</v>
      </c>
      <c r="E8" s="1">
        <v>75</v>
      </c>
      <c r="F8" s="1">
        <v>7</v>
      </c>
      <c r="G8" s="1">
        <v>17</v>
      </c>
      <c r="H8" s="1">
        <v>17</v>
      </c>
      <c r="I8" s="1">
        <v>17</v>
      </c>
      <c r="J8" s="8">
        <v>17</v>
      </c>
      <c r="K8" s="8">
        <v>17</v>
      </c>
      <c r="L8" s="8">
        <v>17</v>
      </c>
      <c r="M8" s="8">
        <v>17</v>
      </c>
      <c r="N8" s="8">
        <v>17</v>
      </c>
      <c r="O8" s="10">
        <v>17</v>
      </c>
    </row>
    <row r="9" spans="1:15">
      <c r="A9" s="4">
        <v>8</v>
      </c>
      <c r="B9" s="1" t="s">
        <v>18</v>
      </c>
      <c r="G9" s="1">
        <v>18</v>
      </c>
      <c r="H9" s="1">
        <v>18</v>
      </c>
      <c r="I9" s="1">
        <v>18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10">
        <v>1</v>
      </c>
    </row>
    <row r="10" spans="1:15">
      <c r="A10" s="4">
        <v>9</v>
      </c>
      <c r="B10" s="1" t="s">
        <v>23</v>
      </c>
      <c r="G10" s="1">
        <v>19</v>
      </c>
      <c r="H10" s="1">
        <v>19</v>
      </c>
      <c r="I10" s="1">
        <v>19</v>
      </c>
      <c r="J10" s="8">
        <v>19</v>
      </c>
      <c r="K10" s="8">
        <v>2</v>
      </c>
      <c r="L10" s="8">
        <v>2</v>
      </c>
      <c r="M10" s="8">
        <v>2</v>
      </c>
      <c r="N10" s="8">
        <v>2</v>
      </c>
      <c r="O10" s="10">
        <v>1</v>
      </c>
    </row>
    <row r="11" spans="1:15">
      <c r="A11" s="5">
        <v>10</v>
      </c>
      <c r="B11" s="1" t="s">
        <v>20</v>
      </c>
      <c r="G11" s="1">
        <v>20</v>
      </c>
      <c r="H11" s="1">
        <v>20</v>
      </c>
      <c r="I11" s="1">
        <v>20</v>
      </c>
      <c r="J11" s="8">
        <v>20</v>
      </c>
      <c r="K11" s="8">
        <v>20</v>
      </c>
      <c r="L11" s="8">
        <v>20</v>
      </c>
      <c r="M11" s="8">
        <v>20</v>
      </c>
      <c r="N11" s="8">
        <v>1</v>
      </c>
      <c r="O11" s="10">
        <v>1</v>
      </c>
    </row>
    <row r="13" spans="2:11"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</row>
    <row r="14" spans="1:17">
      <c r="A14" s="6">
        <v>1</v>
      </c>
      <c r="B14" s="7">
        <f>IFERROR(IF($A14=B$13,1000000,SQRT(SUMXMY2($C2:$F2,INDEX($C$2:$F$11,B$13,0)))),1000000)</f>
        <v>1000000</v>
      </c>
      <c r="C14" s="7">
        <f>IFERROR(IF($A14=C$13,1000000,SQRT(SUMXMY2($C2:$F2,INDEX($C$2:$F$11,C$13,0)))),1000000)</f>
        <v>1000000</v>
      </c>
      <c r="D14" s="7">
        <f>IFERROR(IF($A14=D$13,1000000,SQRT(SUMXMY2($C2:$F2,INDEX($C$2:$F$11,D$13,0)))),1000000)</f>
        <v>1000000</v>
      </c>
      <c r="E14" s="7">
        <f>IFERROR(IF($A14=E$13,1000000,SQRT(SUMXMY2($C2:$F2,INDEX($C$2:$F$11,E$13,0)))),1000000)</f>
        <v>1000000</v>
      </c>
      <c r="F14" s="7">
        <f>IFERROR(IF($A14=F$13,1000000,SQRT(SUMXMY2($C2:$F2,INDEX($C$2:$F$11,F$13,0)))),1000000)</f>
        <v>1000000</v>
      </c>
      <c r="G14" s="7">
        <f>IFERROR(IF($A14=G$13,1000000,SQRT(SUMXMY2($C2:$F2,INDEX($C$2:$F$11,G$13,0)))),1000000)</f>
        <v>1000000</v>
      </c>
      <c r="H14" s="7">
        <f>IFERROR(IF($A14=H$13,1000000,SQRT(SUMXMY2($C2:$F2,INDEX($C$2:$F$11,H$13,0)))),1000000)</f>
        <v>168.754149468874</v>
      </c>
      <c r="I14" s="7">
        <f>IFERROR(IF($A14=I$13,1000000,SQRT(SUMXMY2($C2:$F2,INDEX($C$2:$F$11,I$13,0)))),1000000)</f>
        <v>1000000</v>
      </c>
      <c r="J14" s="7">
        <f>IFERROR(IF($A14=J$13,1000000,SQRT(SUMXMY2($C2:$F2,INDEX($C$2:$F$11,J$13,0)))),1000000)</f>
        <v>1000000</v>
      </c>
      <c r="K14" s="7">
        <f>IFERROR(IF($A14=K$13,1000000,SQRT(SUMXMY2($C2:$F2,INDEX($C$2:$F$11,K$13,0)))),1000000)</f>
        <v>1000000</v>
      </c>
      <c r="L14" s="9">
        <f t="shared" ref="L14:L23" si="0">MATCH(MIN($B$14:$K$23),B14:K14,0)</f>
        <v>7</v>
      </c>
      <c r="N14" s="9">
        <f t="shared" ref="N14:Q14" si="1">SUM(C2*5,C4*4)/9</f>
        <v>4.87654320987654</v>
      </c>
      <c r="O14" s="9">
        <f t="shared" si="1"/>
        <v>112.098765432099</v>
      </c>
      <c r="P14" s="9">
        <f t="shared" si="1"/>
        <v>35.3086419753087</v>
      </c>
      <c r="Q14" s="9">
        <f t="shared" si="1"/>
        <v>15.7407407407407</v>
      </c>
    </row>
    <row r="15" spans="1:17">
      <c r="A15" s="6">
        <v>2</v>
      </c>
      <c r="B15" s="7">
        <f>IFERROR(IF($A15=B$13,1000000,SQRT(SUMXMY2($C3:$F3,INDEX($C$2:$F$11,B$13,0)))),1000000)</f>
        <v>1000000</v>
      </c>
      <c r="C15" s="7">
        <f>IFERROR(IF($A15=C$13,1000000,SQRT(SUMXMY2($C3:$F3,INDEX($C$2:$F$11,C$13,0)))),1000000)</f>
        <v>1000000</v>
      </c>
      <c r="D15" s="7">
        <f>IFERROR(IF($A15=D$13,1000000,SQRT(SUMXMY2($C3:$F3,INDEX($C$2:$F$11,D$13,0)))),1000000)</f>
        <v>1000000</v>
      </c>
      <c r="E15" s="7">
        <f>IFERROR(IF($A15=E$13,1000000,SQRT(SUMXMY2($C3:$F3,INDEX($C$2:$F$11,E$13,0)))),1000000)</f>
        <v>1000000</v>
      </c>
      <c r="F15" s="7">
        <f>IFERROR(IF($A15=F$13,1000000,SQRT(SUMXMY2($C3:$F3,INDEX($C$2:$F$11,F$13,0)))),1000000)</f>
        <v>1000000</v>
      </c>
      <c r="G15" s="7">
        <f>IFERROR(IF($A15=G$13,1000000,SQRT(SUMXMY2($C3:$F3,INDEX($C$2:$F$11,G$13,0)))),1000000)</f>
        <v>1000000</v>
      </c>
      <c r="H15" s="7">
        <f>IFERROR(IF($A15=H$13,1000000,SQRT(SUMXMY2($C3:$F3,INDEX($C$2:$F$11,H$13,0)))),1000000)</f>
        <v>1000000</v>
      </c>
      <c r="I15" s="7">
        <f>IFERROR(IF($A15=I$13,1000000,SQRT(SUMXMY2($C3:$F3,INDEX($C$2:$F$11,I$13,0)))),1000000)</f>
        <v>1000000</v>
      </c>
      <c r="J15" s="7">
        <f>IFERROR(IF($A15=J$13,1000000,SQRT(SUMXMY2($C3:$F3,INDEX($C$2:$F$11,J$13,0)))),1000000)</f>
        <v>1000000</v>
      </c>
      <c r="K15" s="7">
        <f>IFERROR(IF($A15=K$13,1000000,SQRT(SUMXMY2($C3:$F3,INDEX($C$2:$F$11,K$13,0)))),1000000)</f>
        <v>1000000</v>
      </c>
      <c r="L15" s="9" t="e">
        <f t="shared" si="0"/>
        <v>#N/A</v>
      </c>
      <c r="N15" s="1">
        <v>8.77777777777778</v>
      </c>
      <c r="O15" s="1">
        <v>201.777777777778</v>
      </c>
      <c r="P15" s="1">
        <v>63.5555555555556</v>
      </c>
      <c r="Q15" s="1">
        <v>28.3333333333333</v>
      </c>
    </row>
    <row r="16" spans="1:12">
      <c r="A16" s="6">
        <v>3</v>
      </c>
      <c r="B16" s="7">
        <f>IFERROR(IF($A16=B$13,1000000,SQRT(SUMXMY2($C4:$F4,INDEX($C$2:$F$11,B$13,0)))),1000000)</f>
        <v>1000000</v>
      </c>
      <c r="C16" s="7">
        <f>IFERROR(IF($A16=C$13,1000000,SQRT(SUMXMY2($C4:$F4,INDEX($C$2:$F$11,C$13,0)))),1000000)</f>
        <v>1000000</v>
      </c>
      <c r="D16" s="7">
        <f>IFERROR(IF($A16=D$13,1000000,SQRT(SUMXMY2($C4:$F4,INDEX($C$2:$F$11,D$13,0)))),1000000)</f>
        <v>1000000</v>
      </c>
      <c r="E16" s="7">
        <f>IFERROR(IF($A16=E$13,1000000,SQRT(SUMXMY2($C4:$F4,INDEX($C$2:$F$11,E$13,0)))),1000000)</f>
        <v>1000000</v>
      </c>
      <c r="F16" s="7">
        <f>IFERROR(IF($A16=F$13,1000000,SQRT(SUMXMY2($C4:$F4,INDEX($C$2:$F$11,F$13,0)))),1000000)</f>
        <v>1000000</v>
      </c>
      <c r="G16" s="7">
        <f>IFERROR(IF($A16=G$13,1000000,SQRT(SUMXMY2($C4:$F4,INDEX($C$2:$F$11,G$13,0)))),1000000)</f>
        <v>1000000</v>
      </c>
      <c r="H16" s="7">
        <f>IFERROR(IF($A16=H$13,1000000,SQRT(SUMXMY2($C4:$F4,INDEX($C$2:$F$11,H$13,0)))),1000000)</f>
        <v>1000000</v>
      </c>
      <c r="I16" s="7">
        <f>IFERROR(IF($A16=I$13,1000000,SQRT(SUMXMY2($C4:$F4,INDEX($C$2:$F$11,I$13,0)))),1000000)</f>
        <v>1000000</v>
      </c>
      <c r="J16" s="7">
        <f>IFERROR(IF($A16=J$13,1000000,SQRT(SUMXMY2($C4:$F4,INDEX($C$2:$F$11,J$13,0)))),1000000)</f>
        <v>1000000</v>
      </c>
      <c r="K16" s="7">
        <f>IFERROR(IF($A16=K$13,1000000,SQRT(SUMXMY2($C4:$F4,INDEX($C$2:$F$11,K$13,0)))),1000000)</f>
        <v>1000000</v>
      </c>
      <c r="L16" s="9" t="e">
        <f t="shared" si="0"/>
        <v>#N/A</v>
      </c>
    </row>
    <row r="17" spans="1:12">
      <c r="A17" s="6">
        <v>4</v>
      </c>
      <c r="B17" s="7">
        <f>IFERROR(IF($A17=B$13,1000000,SQRT(SUMXMY2($C5:$F5,INDEX($C$2:$F$11,B$13,0)))),1000000)</f>
        <v>1000000</v>
      </c>
      <c r="C17" s="7">
        <f>IFERROR(IF($A17=C$13,1000000,SQRT(SUMXMY2($C5:$F5,INDEX($C$2:$F$11,C$13,0)))),1000000)</f>
        <v>1000000</v>
      </c>
      <c r="D17" s="7">
        <f>IFERROR(IF($A17=D$13,1000000,SQRT(SUMXMY2($C5:$F5,INDEX($C$2:$F$11,D$13,0)))),1000000)</f>
        <v>1000000</v>
      </c>
      <c r="E17" s="7">
        <f>IFERROR(IF($A17=E$13,1000000,SQRT(SUMXMY2($C5:$F5,INDEX($C$2:$F$11,E$13,0)))),1000000)</f>
        <v>1000000</v>
      </c>
      <c r="F17" s="7">
        <f>IFERROR(IF($A17=F$13,1000000,SQRT(SUMXMY2($C5:$F5,INDEX($C$2:$F$11,F$13,0)))),1000000)</f>
        <v>1000000</v>
      </c>
      <c r="G17" s="7">
        <f>IFERROR(IF($A17=G$13,1000000,SQRT(SUMXMY2($C5:$F5,INDEX($C$2:$F$11,G$13,0)))),1000000)</f>
        <v>1000000</v>
      </c>
      <c r="H17" s="7">
        <f>IFERROR(IF($A17=H$13,1000000,SQRT(SUMXMY2($C5:$F5,INDEX($C$2:$F$11,H$13,0)))),1000000)</f>
        <v>1000000</v>
      </c>
      <c r="I17" s="7">
        <f>IFERROR(IF($A17=I$13,1000000,SQRT(SUMXMY2($C5:$F5,INDEX($C$2:$F$11,I$13,0)))),1000000)</f>
        <v>1000000</v>
      </c>
      <c r="J17" s="7">
        <f>IFERROR(IF($A17=J$13,1000000,SQRT(SUMXMY2($C5:$F5,INDEX($C$2:$F$11,J$13,0)))),1000000)</f>
        <v>1000000</v>
      </c>
      <c r="K17" s="7">
        <f>IFERROR(IF($A17=K$13,1000000,SQRT(SUMXMY2($C5:$F5,INDEX($C$2:$F$11,K$13,0)))),1000000)</f>
        <v>1000000</v>
      </c>
      <c r="L17" s="9" t="e">
        <f t="shared" si="0"/>
        <v>#N/A</v>
      </c>
    </row>
    <row r="18" spans="1:12">
      <c r="A18" s="6">
        <v>5</v>
      </c>
      <c r="B18" s="7">
        <f>IFERROR(IF($A18=B$13,1000000,SQRT(SUMXMY2($C6:$F6,INDEX($C$2:$F$11,B$13,0)))),1000000)</f>
        <v>1000000</v>
      </c>
      <c r="C18" s="7">
        <f>IFERROR(IF($A18=C$13,1000000,SQRT(SUMXMY2($C6:$F6,INDEX($C$2:$F$11,C$13,0)))),1000000)</f>
        <v>1000000</v>
      </c>
      <c r="D18" s="7">
        <f>IFERROR(IF($A18=D$13,1000000,SQRT(SUMXMY2($C6:$F6,INDEX($C$2:$F$11,D$13,0)))),1000000)</f>
        <v>1000000</v>
      </c>
      <c r="E18" s="7">
        <f>IFERROR(IF($A18=E$13,1000000,SQRT(SUMXMY2($C6:$F6,INDEX($C$2:$F$11,E$13,0)))),1000000)</f>
        <v>1000000</v>
      </c>
      <c r="F18" s="7">
        <f>IFERROR(IF($A18=F$13,1000000,SQRT(SUMXMY2($C6:$F6,INDEX($C$2:$F$11,F$13,0)))),1000000)</f>
        <v>1000000</v>
      </c>
      <c r="G18" s="7">
        <f>IFERROR(IF($A18=G$13,1000000,SQRT(SUMXMY2($C6:$F6,INDEX($C$2:$F$11,G$13,0)))),1000000)</f>
        <v>1000000</v>
      </c>
      <c r="H18" s="7">
        <f>IFERROR(IF($A18=H$13,1000000,SQRT(SUMXMY2($C6:$F6,INDEX($C$2:$F$11,H$13,0)))),1000000)</f>
        <v>1000000</v>
      </c>
      <c r="I18" s="7">
        <f>IFERROR(IF($A18=I$13,1000000,SQRT(SUMXMY2($C6:$F6,INDEX($C$2:$F$11,I$13,0)))),1000000)</f>
        <v>1000000</v>
      </c>
      <c r="J18" s="7">
        <f>IFERROR(IF($A18=J$13,1000000,SQRT(SUMXMY2($C6:$F6,INDEX($C$2:$F$11,J$13,0)))),1000000)</f>
        <v>1000000</v>
      </c>
      <c r="K18" s="7">
        <f>IFERROR(IF($A18=K$13,1000000,SQRT(SUMXMY2($C6:$F6,INDEX($C$2:$F$11,K$13,0)))),1000000)</f>
        <v>1000000</v>
      </c>
      <c r="L18" s="9" t="e">
        <f t="shared" si="0"/>
        <v>#N/A</v>
      </c>
    </row>
    <row r="19" spans="1:12">
      <c r="A19" s="6">
        <v>6</v>
      </c>
      <c r="B19" s="7">
        <f>IFERROR(IF($A19=B$13,1000000,SQRT(SUMXMY2($C7:$F7,INDEX($C$2:$F$11,B$13,0)))),1000000)</f>
        <v>1000000</v>
      </c>
      <c r="C19" s="7">
        <f>IFERROR(IF($A19=C$13,1000000,SQRT(SUMXMY2($C7:$F7,INDEX($C$2:$F$11,C$13,0)))),1000000)</f>
        <v>1000000</v>
      </c>
      <c r="D19" s="7">
        <f>IFERROR(IF($A19=D$13,1000000,SQRT(SUMXMY2($C7:$F7,INDEX($C$2:$F$11,D$13,0)))),1000000)</f>
        <v>1000000</v>
      </c>
      <c r="E19" s="7">
        <f>IFERROR(IF($A19=E$13,1000000,SQRT(SUMXMY2($C7:$F7,INDEX($C$2:$F$11,E$13,0)))),1000000)</f>
        <v>1000000</v>
      </c>
      <c r="F19" s="7">
        <f>IFERROR(IF($A19=F$13,1000000,SQRT(SUMXMY2($C7:$F7,INDEX($C$2:$F$11,F$13,0)))),1000000)</f>
        <v>1000000</v>
      </c>
      <c r="G19" s="7">
        <f>IFERROR(IF($A19=G$13,1000000,SQRT(SUMXMY2($C7:$F7,INDEX($C$2:$F$11,G$13,0)))),1000000)</f>
        <v>1000000</v>
      </c>
      <c r="H19" s="7">
        <f>IFERROR(IF($A19=H$13,1000000,SQRT(SUMXMY2($C7:$F7,INDEX($C$2:$F$11,H$13,0)))),1000000)</f>
        <v>1000000</v>
      </c>
      <c r="I19" s="7">
        <f>IFERROR(IF($A19=I$13,1000000,SQRT(SUMXMY2($C7:$F7,INDEX($C$2:$F$11,I$13,0)))),1000000)</f>
        <v>1000000</v>
      </c>
      <c r="J19" s="7">
        <f>IFERROR(IF($A19=J$13,1000000,SQRT(SUMXMY2($C7:$F7,INDEX($C$2:$F$11,J$13,0)))),1000000)</f>
        <v>1000000</v>
      </c>
      <c r="K19" s="7">
        <f>IFERROR(IF($A19=K$13,1000000,SQRT(SUMXMY2($C7:$F7,INDEX($C$2:$F$11,K$13,0)))),1000000)</f>
        <v>1000000</v>
      </c>
      <c r="L19" s="9" t="e">
        <f t="shared" si="0"/>
        <v>#N/A</v>
      </c>
    </row>
    <row r="20" spans="1:12">
      <c r="A20" s="6">
        <v>7</v>
      </c>
      <c r="B20" s="7">
        <f>IFERROR(IF($A20=B$13,1000000,SQRT(SUMXMY2($C8:$F8,INDEX($C$2:$F$11,B$13,0)))),1000000)</f>
        <v>168.754149468874</v>
      </c>
      <c r="C20" s="7">
        <f>IFERROR(IF($A20=C$13,1000000,SQRT(SUMXMY2($C8:$F8,INDEX($C$2:$F$11,C$13,0)))),1000000)</f>
        <v>1000000</v>
      </c>
      <c r="D20" s="7">
        <f>IFERROR(IF($A20=D$13,1000000,SQRT(SUMXMY2($C8:$F8,INDEX($C$2:$F$11,D$13,0)))),1000000)</f>
        <v>1000000</v>
      </c>
      <c r="E20" s="7">
        <f>IFERROR(IF($A20=E$13,1000000,SQRT(SUMXMY2($C8:$F8,INDEX($C$2:$F$11,E$13,0)))),1000000)</f>
        <v>1000000</v>
      </c>
      <c r="F20" s="7">
        <f>IFERROR(IF($A20=F$13,1000000,SQRT(SUMXMY2($C8:$F8,INDEX($C$2:$F$11,F$13,0)))),1000000)</f>
        <v>1000000</v>
      </c>
      <c r="G20" s="7">
        <f>IFERROR(IF($A20=G$13,1000000,SQRT(SUMXMY2($C8:$F8,INDEX($C$2:$F$11,G$13,0)))),1000000)</f>
        <v>1000000</v>
      </c>
      <c r="H20" s="7">
        <f>IFERROR(IF($A20=H$13,1000000,SQRT(SUMXMY2($C8:$F8,INDEX($C$2:$F$11,H$13,0)))),1000000)</f>
        <v>1000000</v>
      </c>
      <c r="I20" s="7">
        <f>IFERROR(IF($A20=I$13,1000000,SQRT(SUMXMY2($C8:$F8,INDEX($C$2:$F$11,I$13,0)))),1000000)</f>
        <v>1000000</v>
      </c>
      <c r="J20" s="7">
        <f>IFERROR(IF($A20=J$13,1000000,SQRT(SUMXMY2($C8:$F8,INDEX($C$2:$F$11,J$13,0)))),1000000)</f>
        <v>1000000</v>
      </c>
      <c r="K20" s="7">
        <f>IFERROR(IF($A20=K$13,1000000,SQRT(SUMXMY2($C8:$F8,INDEX($C$2:$F$11,K$13,0)))),1000000)</f>
        <v>1000000</v>
      </c>
      <c r="L20" s="9">
        <f t="shared" si="0"/>
        <v>1</v>
      </c>
    </row>
    <row r="21" spans="1:12">
      <c r="A21" s="6">
        <v>8</v>
      </c>
      <c r="B21" s="7">
        <f>IFERROR(IF($A21=B$13,1000000,SQRT(SUMXMY2($C9:$F9,INDEX($C$2:$F$11,B$13,0)))),1000000)</f>
        <v>1000000</v>
      </c>
      <c r="C21" s="7">
        <f>IFERROR(IF($A21=C$13,1000000,SQRT(SUMXMY2($C9:$F9,INDEX($C$2:$F$11,C$13,0)))),1000000)</f>
        <v>1000000</v>
      </c>
      <c r="D21" s="7">
        <f>IFERROR(IF($A21=D$13,1000000,SQRT(SUMXMY2($C9:$F9,INDEX($C$2:$F$11,D$13,0)))),1000000)</f>
        <v>1000000</v>
      </c>
      <c r="E21" s="7">
        <f>IFERROR(IF($A21=E$13,1000000,SQRT(SUMXMY2($C9:$F9,INDEX($C$2:$F$11,E$13,0)))),1000000)</f>
        <v>1000000</v>
      </c>
      <c r="F21" s="7">
        <f>IFERROR(IF($A21=F$13,1000000,SQRT(SUMXMY2($C9:$F9,INDEX($C$2:$F$11,F$13,0)))),1000000)</f>
        <v>1000000</v>
      </c>
      <c r="G21" s="7">
        <f>IFERROR(IF($A21=G$13,1000000,SQRT(SUMXMY2($C9:$F9,INDEX($C$2:$F$11,G$13,0)))),1000000)</f>
        <v>1000000</v>
      </c>
      <c r="H21" s="7">
        <f>IFERROR(IF($A21=H$13,1000000,SQRT(SUMXMY2($C9:$F9,INDEX($C$2:$F$11,H$13,0)))),1000000)</f>
        <v>1000000</v>
      </c>
      <c r="I21" s="7">
        <f>IFERROR(IF($A21=I$13,1000000,SQRT(SUMXMY2($C9:$F9,INDEX($C$2:$F$11,I$13,0)))),1000000)</f>
        <v>1000000</v>
      </c>
      <c r="J21" s="7">
        <f>IFERROR(IF($A21=J$13,1000000,SQRT(SUMXMY2($C9:$F9,INDEX($C$2:$F$11,J$13,0)))),1000000)</f>
        <v>1000000</v>
      </c>
      <c r="K21" s="7">
        <f>IFERROR(IF($A21=K$13,1000000,SQRT(SUMXMY2($C9:$F9,INDEX($C$2:$F$11,K$13,0)))),1000000)</f>
        <v>1000000</v>
      </c>
      <c r="L21" s="9" t="e">
        <f t="shared" si="0"/>
        <v>#N/A</v>
      </c>
    </row>
    <row r="22" spans="1:12">
      <c r="A22" s="6">
        <v>9</v>
      </c>
      <c r="B22" s="7">
        <f>IFERROR(IF($A22=B$13,1000000,SQRT(SUMXMY2($C10:$F10,INDEX($C$2:$F$11,B$13,0)))),1000000)</f>
        <v>1000000</v>
      </c>
      <c r="C22" s="7">
        <f>IFERROR(IF($A22=C$13,1000000,SQRT(SUMXMY2($C10:$F10,INDEX($C$2:$F$11,C$13,0)))),1000000)</f>
        <v>1000000</v>
      </c>
      <c r="D22" s="7">
        <f>IFERROR(IF($A22=D$13,1000000,SQRT(SUMXMY2($C10:$F10,INDEX($C$2:$F$11,D$13,0)))),1000000)</f>
        <v>1000000</v>
      </c>
      <c r="E22" s="7">
        <f>IFERROR(IF($A22=E$13,1000000,SQRT(SUMXMY2($C10:$F10,INDEX($C$2:$F$11,E$13,0)))),1000000)</f>
        <v>1000000</v>
      </c>
      <c r="F22" s="7">
        <f>IFERROR(IF($A22=F$13,1000000,SQRT(SUMXMY2($C10:$F10,INDEX($C$2:$F$11,F$13,0)))),1000000)</f>
        <v>1000000</v>
      </c>
      <c r="G22" s="7">
        <f>IFERROR(IF($A22=G$13,1000000,SQRT(SUMXMY2($C10:$F10,INDEX($C$2:$F$11,G$13,0)))),1000000)</f>
        <v>1000000</v>
      </c>
      <c r="H22" s="7">
        <f>IFERROR(IF($A22=H$13,1000000,SQRT(SUMXMY2($C10:$F10,INDEX($C$2:$F$11,H$13,0)))),1000000)</f>
        <v>1000000</v>
      </c>
      <c r="I22" s="7">
        <f>IFERROR(IF($A22=I$13,1000000,SQRT(SUMXMY2($C10:$F10,INDEX($C$2:$F$11,I$13,0)))),1000000)</f>
        <v>1000000</v>
      </c>
      <c r="J22" s="7">
        <f>IFERROR(IF($A22=J$13,1000000,SQRT(SUMXMY2($C10:$F10,INDEX($C$2:$F$11,J$13,0)))),1000000)</f>
        <v>1000000</v>
      </c>
      <c r="K22" s="7">
        <f>IFERROR(IF($A22=K$13,1000000,SQRT(SUMXMY2($C10:$F10,INDEX($C$2:$F$11,K$13,0)))),1000000)</f>
        <v>1000000</v>
      </c>
      <c r="L22" s="9" t="e">
        <f t="shared" si="0"/>
        <v>#N/A</v>
      </c>
    </row>
    <row r="23" spans="1:12">
      <c r="A23" s="6">
        <v>10</v>
      </c>
      <c r="B23" s="7">
        <f>IFERROR(IF($A23=B$13,1000000,SQRT(SUMXMY2($C11:$F11,INDEX($C$2:$F$11,B$13,0)))),1000000)</f>
        <v>1000000</v>
      </c>
      <c r="C23" s="7">
        <f>IFERROR(IF($A23=C$13,1000000,SQRT(SUMXMY2($C11:$F11,INDEX($C$2:$F$11,C$13,0)))),1000000)</f>
        <v>1000000</v>
      </c>
      <c r="D23" s="7">
        <f>IFERROR(IF($A23=D$13,1000000,SQRT(SUMXMY2($C11:$F11,INDEX($C$2:$F$11,D$13,0)))),1000000)</f>
        <v>1000000</v>
      </c>
      <c r="E23" s="7">
        <f>IFERROR(IF($A23=E$13,1000000,SQRT(SUMXMY2($C11:$F11,INDEX($C$2:$F$11,E$13,0)))),1000000)</f>
        <v>1000000</v>
      </c>
      <c r="F23" s="7">
        <f>IFERROR(IF($A23=F$13,1000000,SQRT(SUMXMY2($C11:$F11,INDEX($C$2:$F$11,F$13,0)))),1000000)</f>
        <v>1000000</v>
      </c>
      <c r="G23" s="7">
        <f>IFERROR(IF($A23=G$13,1000000,SQRT(SUMXMY2($C11:$F11,INDEX($C$2:$F$11,G$13,0)))),1000000)</f>
        <v>1000000</v>
      </c>
      <c r="H23" s="7">
        <f>IFERROR(IF($A23=H$13,1000000,SQRT(SUMXMY2($C11:$F11,INDEX($C$2:$F$11,H$13,0)))),1000000)</f>
        <v>1000000</v>
      </c>
      <c r="I23" s="7">
        <f>IFERROR(IF($A23=I$13,1000000,SQRT(SUMXMY2($C11:$F11,INDEX($C$2:$F$11,I$13,0)))),1000000)</f>
        <v>1000000</v>
      </c>
      <c r="J23" s="7">
        <f>IFERROR(IF($A23=J$13,1000000,SQRT(SUMXMY2($C11:$F11,INDEX($C$2:$F$11,J$13,0)))),1000000)</f>
        <v>1000000</v>
      </c>
      <c r="K23" s="7">
        <f>IFERROR(IF($A23=K$13,1000000,SQRT(SUMXMY2($C11:$F11,INDEX($C$2:$F$11,K$13,0)))),1000000)</f>
        <v>1000000</v>
      </c>
      <c r="L23" s="9" t="e">
        <f t="shared" si="0"/>
        <v>#N/A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workbookViewId="0">
      <selection activeCell="N39" sqref="N39"/>
    </sheetView>
  </sheetViews>
  <sheetFormatPr defaultColWidth="9" defaultRowHeight="15"/>
  <cols>
    <col min="1" max="1" width="9" style="1"/>
    <col min="2" max="6" width="12.8571428571429" style="1"/>
    <col min="7" max="7" width="9" style="1"/>
    <col min="8" max="8" width="12.8571428571429" style="1"/>
    <col min="9" max="16384" width="9" style="1"/>
  </cols>
  <sheetData>
    <row r="1" spans="1:1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4">
        <v>1</v>
      </c>
      <c r="B2" s="1" t="s">
        <v>16</v>
      </c>
      <c r="C2" s="1">
        <v>8.77777777777778</v>
      </c>
      <c r="D2" s="1">
        <v>201.777777777778</v>
      </c>
      <c r="E2" s="1">
        <v>63.5555555555556</v>
      </c>
      <c r="F2" s="1">
        <v>28.3333333333333</v>
      </c>
      <c r="G2" s="1">
        <v>11</v>
      </c>
      <c r="H2" s="1">
        <v>1</v>
      </c>
      <c r="I2" s="1">
        <v>1</v>
      </c>
      <c r="J2" s="8">
        <v>1</v>
      </c>
      <c r="K2" s="8">
        <v>1</v>
      </c>
      <c r="L2" s="8">
        <v>1</v>
      </c>
      <c r="M2" s="8">
        <v>1</v>
      </c>
      <c r="N2" s="8">
        <v>1</v>
      </c>
      <c r="O2" s="8">
        <v>1</v>
      </c>
      <c r="P2" s="10">
        <v>1</v>
      </c>
    </row>
    <row r="3" spans="1:16">
      <c r="A3" s="4">
        <v>2</v>
      </c>
      <c r="B3" s="1" t="s">
        <v>24</v>
      </c>
      <c r="G3" s="1">
        <v>12</v>
      </c>
      <c r="H3" s="1">
        <v>12</v>
      </c>
      <c r="I3" s="1">
        <v>12</v>
      </c>
      <c r="J3" s="8">
        <v>12</v>
      </c>
      <c r="K3" s="8">
        <v>12</v>
      </c>
      <c r="L3" s="8">
        <v>12</v>
      </c>
      <c r="M3" s="8">
        <v>2</v>
      </c>
      <c r="N3" s="8">
        <v>2</v>
      </c>
      <c r="O3" s="8">
        <v>1</v>
      </c>
      <c r="P3" s="10">
        <v>1</v>
      </c>
    </row>
    <row r="4" spans="1:16">
      <c r="A4" s="4">
        <v>3</v>
      </c>
      <c r="B4" s="1" t="s">
        <v>21</v>
      </c>
      <c r="G4" s="1">
        <v>13</v>
      </c>
      <c r="H4" s="1">
        <v>13</v>
      </c>
      <c r="I4" s="1">
        <v>2</v>
      </c>
      <c r="J4" s="8">
        <v>2</v>
      </c>
      <c r="K4" s="8">
        <v>2</v>
      </c>
      <c r="L4" s="8">
        <v>2</v>
      </c>
      <c r="M4" s="8">
        <v>2</v>
      </c>
      <c r="N4" s="8">
        <v>2</v>
      </c>
      <c r="O4" s="8">
        <v>1</v>
      </c>
      <c r="P4" s="10">
        <v>1</v>
      </c>
    </row>
    <row r="5" spans="1:16">
      <c r="A5" s="4">
        <v>4</v>
      </c>
      <c r="B5" s="1" t="s">
        <v>17</v>
      </c>
      <c r="G5" s="1">
        <v>14</v>
      </c>
      <c r="H5" s="1">
        <v>1</v>
      </c>
      <c r="I5" s="1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10">
        <v>1</v>
      </c>
    </row>
    <row r="6" spans="1:16">
      <c r="A6" s="4">
        <v>5</v>
      </c>
      <c r="B6" s="1" t="s">
        <v>22</v>
      </c>
      <c r="G6" s="1">
        <v>15</v>
      </c>
      <c r="H6" s="1">
        <v>15</v>
      </c>
      <c r="I6" s="1">
        <v>2</v>
      </c>
      <c r="J6" s="8">
        <v>2</v>
      </c>
      <c r="K6" s="8">
        <v>2</v>
      </c>
      <c r="L6" s="8">
        <v>2</v>
      </c>
      <c r="M6" s="8">
        <v>2</v>
      </c>
      <c r="N6" s="8">
        <v>2</v>
      </c>
      <c r="O6" s="8">
        <v>1</v>
      </c>
      <c r="P6" s="10">
        <v>1</v>
      </c>
    </row>
    <row r="7" spans="1:16">
      <c r="A7" s="4">
        <v>6</v>
      </c>
      <c r="B7" s="1" t="s">
        <v>19</v>
      </c>
      <c r="G7" s="1">
        <v>16</v>
      </c>
      <c r="H7" s="1">
        <v>16</v>
      </c>
      <c r="I7" s="1">
        <v>16</v>
      </c>
      <c r="J7" s="8">
        <v>16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10">
        <v>1</v>
      </c>
    </row>
    <row r="8" spans="1:16">
      <c r="A8" s="4">
        <v>7</v>
      </c>
      <c r="B8" s="1" t="s">
        <v>25</v>
      </c>
      <c r="C8" s="1">
        <v>0</v>
      </c>
      <c r="D8" s="1">
        <v>35</v>
      </c>
      <c r="E8" s="1">
        <v>75</v>
      </c>
      <c r="F8" s="1">
        <v>7</v>
      </c>
      <c r="G8" s="1">
        <v>17</v>
      </c>
      <c r="H8" s="1">
        <v>17</v>
      </c>
      <c r="I8" s="1">
        <v>17</v>
      </c>
      <c r="J8" s="8">
        <v>17</v>
      </c>
      <c r="K8" s="8">
        <v>17</v>
      </c>
      <c r="L8" s="8">
        <v>17</v>
      </c>
      <c r="M8" s="8">
        <v>17</v>
      </c>
      <c r="N8" s="8">
        <v>17</v>
      </c>
      <c r="O8" s="8">
        <v>17</v>
      </c>
      <c r="P8" s="10">
        <v>1</v>
      </c>
    </row>
    <row r="9" spans="1:16">
      <c r="A9" s="4">
        <v>8</v>
      </c>
      <c r="B9" s="1" t="s">
        <v>18</v>
      </c>
      <c r="G9" s="1">
        <v>18</v>
      </c>
      <c r="H9" s="1">
        <v>18</v>
      </c>
      <c r="I9" s="1">
        <v>18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1</v>
      </c>
      <c r="P9" s="10">
        <v>1</v>
      </c>
    </row>
    <row r="10" spans="1:16">
      <c r="A10" s="4">
        <v>9</v>
      </c>
      <c r="B10" s="1" t="s">
        <v>23</v>
      </c>
      <c r="G10" s="1">
        <v>19</v>
      </c>
      <c r="H10" s="1">
        <v>19</v>
      </c>
      <c r="I10" s="1">
        <v>19</v>
      </c>
      <c r="J10" s="8">
        <v>19</v>
      </c>
      <c r="K10" s="8">
        <v>2</v>
      </c>
      <c r="L10" s="8">
        <v>2</v>
      </c>
      <c r="M10" s="8">
        <v>2</v>
      </c>
      <c r="N10" s="8">
        <v>2</v>
      </c>
      <c r="O10" s="8">
        <v>1</v>
      </c>
      <c r="P10" s="10">
        <v>1</v>
      </c>
    </row>
    <row r="11" spans="1:16">
      <c r="A11" s="5">
        <v>10</v>
      </c>
      <c r="B11" s="1" t="s">
        <v>20</v>
      </c>
      <c r="G11" s="1">
        <v>20</v>
      </c>
      <c r="H11" s="1">
        <v>20</v>
      </c>
      <c r="I11" s="1">
        <v>20</v>
      </c>
      <c r="J11" s="8">
        <v>20</v>
      </c>
      <c r="K11" s="8">
        <v>20</v>
      </c>
      <c r="L11" s="8">
        <v>20</v>
      </c>
      <c r="M11" s="8">
        <v>20</v>
      </c>
      <c r="N11" s="8">
        <v>1</v>
      </c>
      <c r="O11" s="8">
        <v>1</v>
      </c>
      <c r="P11" s="10">
        <v>1</v>
      </c>
    </row>
    <row r="13" spans="2:11"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</row>
    <row r="14" spans="1:17">
      <c r="A14" s="6">
        <v>1</v>
      </c>
      <c r="B14" s="7">
        <f>IFERROR(IF($A14=B$13,1000000,SQRT(SUMXMY2($C2:$F2,INDEX($C$2:$F$11,B$13,0)))),1000000)</f>
        <v>1000000</v>
      </c>
      <c r="C14" s="7">
        <f>IFERROR(IF($A14=C$13,1000000,SQRT(SUMXMY2($C2:$F2,INDEX($C$2:$F$11,C$13,0)))),1000000)</f>
        <v>1000000</v>
      </c>
      <c r="D14" s="7">
        <f>IFERROR(IF($A14=D$13,1000000,SQRT(SUMXMY2($C2:$F2,INDEX($C$2:$F$11,D$13,0)))),1000000)</f>
        <v>1000000</v>
      </c>
      <c r="E14" s="7">
        <f>IFERROR(IF($A14=E$13,1000000,SQRT(SUMXMY2($C2:$F2,INDEX($C$2:$F$11,E$13,0)))),1000000)</f>
        <v>1000000</v>
      </c>
      <c r="F14" s="7">
        <f>IFERROR(IF($A14=F$13,1000000,SQRT(SUMXMY2($C2:$F2,INDEX($C$2:$F$11,F$13,0)))),1000000)</f>
        <v>1000000</v>
      </c>
      <c r="G14" s="7">
        <f>IFERROR(IF($A14=G$13,1000000,SQRT(SUMXMY2($C2:$F2,INDEX($C$2:$F$11,G$13,0)))),1000000)</f>
        <v>1000000</v>
      </c>
      <c r="H14" s="7">
        <f>IFERROR(IF($A14=H$13,1000000,SQRT(SUMXMY2($C2:$F2,INDEX($C$2:$F$11,H$13,0)))),1000000)</f>
        <v>168.754149468874</v>
      </c>
      <c r="I14" s="7">
        <f>IFERROR(IF($A14=I$13,1000000,SQRT(SUMXMY2($C2:$F2,INDEX($C$2:$F$11,I$13,0)))),1000000)</f>
        <v>1000000</v>
      </c>
      <c r="J14" s="7">
        <f>IFERROR(IF($A14=J$13,1000000,SQRT(SUMXMY2($C2:$F2,INDEX($C$2:$F$11,J$13,0)))),1000000)</f>
        <v>1000000</v>
      </c>
      <c r="K14" s="7">
        <f>IFERROR(IF($A14=K$13,1000000,SQRT(SUMXMY2($C2:$F2,INDEX($C$2:$F$11,K$13,0)))),1000000)</f>
        <v>1000000</v>
      </c>
      <c r="L14" s="9">
        <f t="shared" ref="L14:L23" si="0">MATCH(MIN($B$14:$K$23),B14:K14,0)</f>
        <v>7</v>
      </c>
      <c r="N14" s="9">
        <f t="shared" ref="N14:Q14" si="1">SUM(C2*9,C8)/10</f>
        <v>7.9</v>
      </c>
      <c r="O14" s="9">
        <f t="shared" si="1"/>
        <v>185.1</v>
      </c>
      <c r="P14" s="9">
        <f t="shared" si="1"/>
        <v>64.7</v>
      </c>
      <c r="Q14" s="9">
        <f t="shared" si="1"/>
        <v>26.2</v>
      </c>
    </row>
    <row r="15" spans="1:17">
      <c r="A15" s="6">
        <v>2</v>
      </c>
      <c r="B15" s="7">
        <f>IFERROR(IF($A15=B$13,1000000,SQRT(SUMXMY2($C3:$F3,INDEX($C$2:$F$11,B$13,0)))),1000000)</f>
        <v>1000000</v>
      </c>
      <c r="C15" s="7">
        <f>IFERROR(IF($A15=C$13,1000000,SQRT(SUMXMY2($C3:$F3,INDEX($C$2:$F$11,C$13,0)))),1000000)</f>
        <v>1000000</v>
      </c>
      <c r="D15" s="7">
        <f>IFERROR(IF($A15=D$13,1000000,SQRT(SUMXMY2($C3:$F3,INDEX($C$2:$F$11,D$13,0)))),1000000)</f>
        <v>1000000</v>
      </c>
      <c r="E15" s="7">
        <f>IFERROR(IF($A15=E$13,1000000,SQRT(SUMXMY2($C3:$F3,INDEX($C$2:$F$11,E$13,0)))),1000000)</f>
        <v>1000000</v>
      </c>
      <c r="F15" s="7">
        <f>IFERROR(IF($A15=F$13,1000000,SQRT(SUMXMY2($C3:$F3,INDEX($C$2:$F$11,F$13,0)))),1000000)</f>
        <v>1000000</v>
      </c>
      <c r="G15" s="7">
        <f>IFERROR(IF($A15=G$13,1000000,SQRT(SUMXMY2($C3:$F3,INDEX($C$2:$F$11,G$13,0)))),1000000)</f>
        <v>1000000</v>
      </c>
      <c r="H15" s="7">
        <f>IFERROR(IF($A15=H$13,1000000,SQRT(SUMXMY2($C3:$F3,INDEX($C$2:$F$11,H$13,0)))),1000000)</f>
        <v>1000000</v>
      </c>
      <c r="I15" s="7">
        <f>IFERROR(IF($A15=I$13,1000000,SQRT(SUMXMY2($C3:$F3,INDEX($C$2:$F$11,I$13,0)))),1000000)</f>
        <v>1000000</v>
      </c>
      <c r="J15" s="7">
        <f>IFERROR(IF($A15=J$13,1000000,SQRT(SUMXMY2($C3:$F3,INDEX($C$2:$F$11,J$13,0)))),1000000)</f>
        <v>1000000</v>
      </c>
      <c r="K15" s="7">
        <f>IFERROR(IF($A15=K$13,1000000,SQRT(SUMXMY2($C3:$F3,INDEX($C$2:$F$11,K$13,0)))),1000000)</f>
        <v>1000000</v>
      </c>
      <c r="L15" s="9" t="e">
        <f t="shared" si="0"/>
        <v>#N/A</v>
      </c>
      <c r="N15" s="1">
        <v>7.9</v>
      </c>
      <c r="O15" s="1">
        <v>185.1</v>
      </c>
      <c r="P15" s="1">
        <v>64.7</v>
      </c>
      <c r="Q15" s="1">
        <v>26.2</v>
      </c>
    </row>
    <row r="16" spans="1:12">
      <c r="A16" s="6">
        <v>3</v>
      </c>
      <c r="B16" s="7">
        <f>IFERROR(IF($A16=B$13,1000000,SQRT(SUMXMY2($C4:$F4,INDEX($C$2:$F$11,B$13,0)))),1000000)</f>
        <v>1000000</v>
      </c>
      <c r="C16" s="7">
        <f>IFERROR(IF($A16=C$13,1000000,SQRT(SUMXMY2($C4:$F4,INDEX($C$2:$F$11,C$13,0)))),1000000)</f>
        <v>1000000</v>
      </c>
      <c r="D16" s="7">
        <f>IFERROR(IF($A16=D$13,1000000,SQRT(SUMXMY2($C4:$F4,INDEX($C$2:$F$11,D$13,0)))),1000000)</f>
        <v>1000000</v>
      </c>
      <c r="E16" s="7">
        <f>IFERROR(IF($A16=E$13,1000000,SQRT(SUMXMY2($C4:$F4,INDEX($C$2:$F$11,E$13,0)))),1000000)</f>
        <v>1000000</v>
      </c>
      <c r="F16" s="7">
        <f>IFERROR(IF($A16=F$13,1000000,SQRT(SUMXMY2($C4:$F4,INDEX($C$2:$F$11,F$13,0)))),1000000)</f>
        <v>1000000</v>
      </c>
      <c r="G16" s="7">
        <f>IFERROR(IF($A16=G$13,1000000,SQRT(SUMXMY2($C4:$F4,INDEX($C$2:$F$11,G$13,0)))),1000000)</f>
        <v>1000000</v>
      </c>
      <c r="H16" s="7">
        <f>IFERROR(IF($A16=H$13,1000000,SQRT(SUMXMY2($C4:$F4,INDEX($C$2:$F$11,H$13,0)))),1000000)</f>
        <v>1000000</v>
      </c>
      <c r="I16" s="7">
        <f>IFERROR(IF($A16=I$13,1000000,SQRT(SUMXMY2($C4:$F4,INDEX($C$2:$F$11,I$13,0)))),1000000)</f>
        <v>1000000</v>
      </c>
      <c r="J16" s="7">
        <f>IFERROR(IF($A16=J$13,1000000,SQRT(SUMXMY2($C4:$F4,INDEX($C$2:$F$11,J$13,0)))),1000000)</f>
        <v>1000000</v>
      </c>
      <c r="K16" s="7">
        <f>IFERROR(IF($A16=K$13,1000000,SQRT(SUMXMY2($C4:$F4,INDEX($C$2:$F$11,K$13,0)))),1000000)</f>
        <v>1000000</v>
      </c>
      <c r="L16" s="9" t="e">
        <f t="shared" si="0"/>
        <v>#N/A</v>
      </c>
    </row>
    <row r="17" spans="1:12">
      <c r="A17" s="6">
        <v>4</v>
      </c>
      <c r="B17" s="7">
        <f>IFERROR(IF($A17=B$13,1000000,SQRT(SUMXMY2($C5:$F5,INDEX($C$2:$F$11,B$13,0)))),1000000)</f>
        <v>1000000</v>
      </c>
      <c r="C17" s="7">
        <f>IFERROR(IF($A17=C$13,1000000,SQRT(SUMXMY2($C5:$F5,INDEX($C$2:$F$11,C$13,0)))),1000000)</f>
        <v>1000000</v>
      </c>
      <c r="D17" s="7">
        <f>IFERROR(IF($A17=D$13,1000000,SQRT(SUMXMY2($C5:$F5,INDEX($C$2:$F$11,D$13,0)))),1000000)</f>
        <v>1000000</v>
      </c>
      <c r="E17" s="7">
        <f>IFERROR(IF($A17=E$13,1000000,SQRT(SUMXMY2($C5:$F5,INDEX($C$2:$F$11,E$13,0)))),1000000)</f>
        <v>1000000</v>
      </c>
      <c r="F17" s="7">
        <f>IFERROR(IF($A17=F$13,1000000,SQRT(SUMXMY2($C5:$F5,INDEX($C$2:$F$11,F$13,0)))),1000000)</f>
        <v>1000000</v>
      </c>
      <c r="G17" s="7">
        <f>IFERROR(IF($A17=G$13,1000000,SQRT(SUMXMY2($C5:$F5,INDEX($C$2:$F$11,G$13,0)))),1000000)</f>
        <v>1000000</v>
      </c>
      <c r="H17" s="7">
        <f>IFERROR(IF($A17=H$13,1000000,SQRT(SUMXMY2($C5:$F5,INDEX($C$2:$F$11,H$13,0)))),1000000)</f>
        <v>1000000</v>
      </c>
      <c r="I17" s="7">
        <f>IFERROR(IF($A17=I$13,1000000,SQRT(SUMXMY2($C5:$F5,INDEX($C$2:$F$11,I$13,0)))),1000000)</f>
        <v>1000000</v>
      </c>
      <c r="J17" s="7">
        <f>IFERROR(IF($A17=J$13,1000000,SQRT(SUMXMY2($C5:$F5,INDEX($C$2:$F$11,J$13,0)))),1000000)</f>
        <v>1000000</v>
      </c>
      <c r="K17" s="7">
        <f>IFERROR(IF($A17=K$13,1000000,SQRT(SUMXMY2($C5:$F5,INDEX($C$2:$F$11,K$13,0)))),1000000)</f>
        <v>1000000</v>
      </c>
      <c r="L17" s="9" t="e">
        <f t="shared" si="0"/>
        <v>#N/A</v>
      </c>
    </row>
    <row r="18" spans="1:12">
      <c r="A18" s="6">
        <v>5</v>
      </c>
      <c r="B18" s="7">
        <f>IFERROR(IF($A18=B$13,1000000,SQRT(SUMXMY2($C6:$F6,INDEX($C$2:$F$11,B$13,0)))),1000000)</f>
        <v>1000000</v>
      </c>
      <c r="C18" s="7">
        <f>IFERROR(IF($A18=C$13,1000000,SQRT(SUMXMY2($C6:$F6,INDEX($C$2:$F$11,C$13,0)))),1000000)</f>
        <v>1000000</v>
      </c>
      <c r="D18" s="7">
        <f>IFERROR(IF($A18=D$13,1000000,SQRT(SUMXMY2($C6:$F6,INDEX($C$2:$F$11,D$13,0)))),1000000)</f>
        <v>1000000</v>
      </c>
      <c r="E18" s="7">
        <f>IFERROR(IF($A18=E$13,1000000,SQRT(SUMXMY2($C6:$F6,INDEX($C$2:$F$11,E$13,0)))),1000000)</f>
        <v>1000000</v>
      </c>
      <c r="F18" s="7">
        <f>IFERROR(IF($A18=F$13,1000000,SQRT(SUMXMY2($C6:$F6,INDEX($C$2:$F$11,F$13,0)))),1000000)</f>
        <v>1000000</v>
      </c>
      <c r="G18" s="7">
        <f>IFERROR(IF($A18=G$13,1000000,SQRT(SUMXMY2($C6:$F6,INDEX($C$2:$F$11,G$13,0)))),1000000)</f>
        <v>1000000</v>
      </c>
      <c r="H18" s="7">
        <f>IFERROR(IF($A18=H$13,1000000,SQRT(SUMXMY2($C6:$F6,INDEX($C$2:$F$11,H$13,0)))),1000000)</f>
        <v>1000000</v>
      </c>
      <c r="I18" s="7">
        <f>IFERROR(IF($A18=I$13,1000000,SQRT(SUMXMY2($C6:$F6,INDEX($C$2:$F$11,I$13,0)))),1000000)</f>
        <v>1000000</v>
      </c>
      <c r="J18" s="7">
        <f>IFERROR(IF($A18=J$13,1000000,SQRT(SUMXMY2($C6:$F6,INDEX($C$2:$F$11,J$13,0)))),1000000)</f>
        <v>1000000</v>
      </c>
      <c r="K18" s="7">
        <f>IFERROR(IF($A18=K$13,1000000,SQRT(SUMXMY2($C6:$F6,INDEX($C$2:$F$11,K$13,0)))),1000000)</f>
        <v>1000000</v>
      </c>
      <c r="L18" s="9" t="e">
        <f t="shared" si="0"/>
        <v>#N/A</v>
      </c>
    </row>
    <row r="19" spans="1:12">
      <c r="A19" s="6">
        <v>6</v>
      </c>
      <c r="B19" s="7">
        <f>IFERROR(IF($A19=B$13,1000000,SQRT(SUMXMY2($C7:$F7,INDEX($C$2:$F$11,B$13,0)))),1000000)</f>
        <v>1000000</v>
      </c>
      <c r="C19" s="7">
        <f>IFERROR(IF($A19=C$13,1000000,SQRT(SUMXMY2($C7:$F7,INDEX($C$2:$F$11,C$13,0)))),1000000)</f>
        <v>1000000</v>
      </c>
      <c r="D19" s="7">
        <f>IFERROR(IF($A19=D$13,1000000,SQRT(SUMXMY2($C7:$F7,INDEX($C$2:$F$11,D$13,0)))),1000000)</f>
        <v>1000000</v>
      </c>
      <c r="E19" s="7">
        <f>IFERROR(IF($A19=E$13,1000000,SQRT(SUMXMY2($C7:$F7,INDEX($C$2:$F$11,E$13,0)))),1000000)</f>
        <v>1000000</v>
      </c>
      <c r="F19" s="7">
        <f>IFERROR(IF($A19=F$13,1000000,SQRT(SUMXMY2($C7:$F7,INDEX($C$2:$F$11,F$13,0)))),1000000)</f>
        <v>1000000</v>
      </c>
      <c r="G19" s="7">
        <f>IFERROR(IF($A19=G$13,1000000,SQRT(SUMXMY2($C7:$F7,INDEX($C$2:$F$11,G$13,0)))),1000000)</f>
        <v>1000000</v>
      </c>
      <c r="H19" s="7">
        <f>IFERROR(IF($A19=H$13,1000000,SQRT(SUMXMY2($C7:$F7,INDEX($C$2:$F$11,H$13,0)))),1000000)</f>
        <v>1000000</v>
      </c>
      <c r="I19" s="7">
        <f>IFERROR(IF($A19=I$13,1000000,SQRT(SUMXMY2($C7:$F7,INDEX($C$2:$F$11,I$13,0)))),1000000)</f>
        <v>1000000</v>
      </c>
      <c r="J19" s="7">
        <f>IFERROR(IF($A19=J$13,1000000,SQRT(SUMXMY2($C7:$F7,INDEX($C$2:$F$11,J$13,0)))),1000000)</f>
        <v>1000000</v>
      </c>
      <c r="K19" s="7">
        <f>IFERROR(IF($A19=K$13,1000000,SQRT(SUMXMY2($C7:$F7,INDEX($C$2:$F$11,K$13,0)))),1000000)</f>
        <v>1000000</v>
      </c>
      <c r="L19" s="9" t="e">
        <f t="shared" si="0"/>
        <v>#N/A</v>
      </c>
    </row>
    <row r="20" spans="1:12">
      <c r="A20" s="6">
        <v>7</v>
      </c>
      <c r="B20" s="7">
        <f>IFERROR(IF($A20=B$13,1000000,SQRT(SUMXMY2($C8:$F8,INDEX($C$2:$F$11,B$13,0)))),1000000)</f>
        <v>168.754149468874</v>
      </c>
      <c r="C20" s="7">
        <f>IFERROR(IF($A20=C$13,1000000,SQRT(SUMXMY2($C8:$F8,INDEX($C$2:$F$11,C$13,0)))),1000000)</f>
        <v>1000000</v>
      </c>
      <c r="D20" s="7">
        <f>IFERROR(IF($A20=D$13,1000000,SQRT(SUMXMY2($C8:$F8,INDEX($C$2:$F$11,D$13,0)))),1000000)</f>
        <v>1000000</v>
      </c>
      <c r="E20" s="7">
        <f>IFERROR(IF($A20=E$13,1000000,SQRT(SUMXMY2($C8:$F8,INDEX($C$2:$F$11,E$13,0)))),1000000)</f>
        <v>1000000</v>
      </c>
      <c r="F20" s="7">
        <f>IFERROR(IF($A20=F$13,1000000,SQRT(SUMXMY2($C8:$F8,INDEX($C$2:$F$11,F$13,0)))),1000000)</f>
        <v>1000000</v>
      </c>
      <c r="G20" s="7">
        <f>IFERROR(IF($A20=G$13,1000000,SQRT(SUMXMY2($C8:$F8,INDEX($C$2:$F$11,G$13,0)))),1000000)</f>
        <v>1000000</v>
      </c>
      <c r="H20" s="7">
        <f>IFERROR(IF($A20=H$13,1000000,SQRT(SUMXMY2($C8:$F8,INDEX($C$2:$F$11,H$13,0)))),1000000)</f>
        <v>1000000</v>
      </c>
      <c r="I20" s="7">
        <f>IFERROR(IF($A20=I$13,1000000,SQRT(SUMXMY2($C8:$F8,INDEX($C$2:$F$11,I$13,0)))),1000000)</f>
        <v>1000000</v>
      </c>
      <c r="J20" s="7">
        <f>IFERROR(IF($A20=J$13,1000000,SQRT(SUMXMY2($C8:$F8,INDEX($C$2:$F$11,J$13,0)))),1000000)</f>
        <v>1000000</v>
      </c>
      <c r="K20" s="7">
        <f>IFERROR(IF($A20=K$13,1000000,SQRT(SUMXMY2($C8:$F8,INDEX($C$2:$F$11,K$13,0)))),1000000)</f>
        <v>1000000</v>
      </c>
      <c r="L20" s="9">
        <f t="shared" si="0"/>
        <v>1</v>
      </c>
    </row>
    <row r="21" spans="1:12">
      <c r="A21" s="6">
        <v>8</v>
      </c>
      <c r="B21" s="7">
        <f>IFERROR(IF($A21=B$13,1000000,SQRT(SUMXMY2($C9:$F9,INDEX($C$2:$F$11,B$13,0)))),1000000)</f>
        <v>1000000</v>
      </c>
      <c r="C21" s="7">
        <f>IFERROR(IF($A21=C$13,1000000,SQRT(SUMXMY2($C9:$F9,INDEX($C$2:$F$11,C$13,0)))),1000000)</f>
        <v>1000000</v>
      </c>
      <c r="D21" s="7">
        <f>IFERROR(IF($A21=D$13,1000000,SQRT(SUMXMY2($C9:$F9,INDEX($C$2:$F$11,D$13,0)))),1000000)</f>
        <v>1000000</v>
      </c>
      <c r="E21" s="7">
        <f>IFERROR(IF($A21=E$13,1000000,SQRT(SUMXMY2($C9:$F9,INDEX($C$2:$F$11,E$13,0)))),1000000)</f>
        <v>1000000</v>
      </c>
      <c r="F21" s="7">
        <f>IFERROR(IF($A21=F$13,1000000,SQRT(SUMXMY2($C9:$F9,INDEX($C$2:$F$11,F$13,0)))),1000000)</f>
        <v>1000000</v>
      </c>
      <c r="G21" s="7">
        <f>IFERROR(IF($A21=G$13,1000000,SQRT(SUMXMY2($C9:$F9,INDEX($C$2:$F$11,G$13,0)))),1000000)</f>
        <v>1000000</v>
      </c>
      <c r="H21" s="7">
        <f>IFERROR(IF($A21=H$13,1000000,SQRT(SUMXMY2($C9:$F9,INDEX($C$2:$F$11,H$13,0)))),1000000)</f>
        <v>1000000</v>
      </c>
      <c r="I21" s="7">
        <f>IFERROR(IF($A21=I$13,1000000,SQRT(SUMXMY2($C9:$F9,INDEX($C$2:$F$11,I$13,0)))),1000000)</f>
        <v>1000000</v>
      </c>
      <c r="J21" s="7">
        <f>IFERROR(IF($A21=J$13,1000000,SQRT(SUMXMY2($C9:$F9,INDEX($C$2:$F$11,J$13,0)))),1000000)</f>
        <v>1000000</v>
      </c>
      <c r="K21" s="7">
        <f>IFERROR(IF($A21=K$13,1000000,SQRT(SUMXMY2($C9:$F9,INDEX($C$2:$F$11,K$13,0)))),1000000)</f>
        <v>1000000</v>
      </c>
      <c r="L21" s="9" t="e">
        <f t="shared" si="0"/>
        <v>#N/A</v>
      </c>
    </row>
    <row r="22" spans="1:12">
      <c r="A22" s="6">
        <v>9</v>
      </c>
      <c r="B22" s="7">
        <f>IFERROR(IF($A22=B$13,1000000,SQRT(SUMXMY2($C10:$F10,INDEX($C$2:$F$11,B$13,0)))),1000000)</f>
        <v>1000000</v>
      </c>
      <c r="C22" s="7">
        <f>IFERROR(IF($A22=C$13,1000000,SQRT(SUMXMY2($C10:$F10,INDEX($C$2:$F$11,C$13,0)))),1000000)</f>
        <v>1000000</v>
      </c>
      <c r="D22" s="7">
        <f>IFERROR(IF($A22=D$13,1000000,SQRT(SUMXMY2($C10:$F10,INDEX($C$2:$F$11,D$13,0)))),1000000)</f>
        <v>1000000</v>
      </c>
      <c r="E22" s="7">
        <f>IFERROR(IF($A22=E$13,1000000,SQRT(SUMXMY2($C10:$F10,INDEX($C$2:$F$11,E$13,0)))),1000000)</f>
        <v>1000000</v>
      </c>
      <c r="F22" s="7">
        <f>IFERROR(IF($A22=F$13,1000000,SQRT(SUMXMY2($C10:$F10,INDEX($C$2:$F$11,F$13,0)))),1000000)</f>
        <v>1000000</v>
      </c>
      <c r="G22" s="7">
        <f>IFERROR(IF($A22=G$13,1000000,SQRT(SUMXMY2($C10:$F10,INDEX($C$2:$F$11,G$13,0)))),1000000)</f>
        <v>1000000</v>
      </c>
      <c r="H22" s="7">
        <f>IFERROR(IF($A22=H$13,1000000,SQRT(SUMXMY2($C10:$F10,INDEX($C$2:$F$11,H$13,0)))),1000000)</f>
        <v>1000000</v>
      </c>
      <c r="I22" s="7">
        <f>IFERROR(IF($A22=I$13,1000000,SQRT(SUMXMY2($C10:$F10,INDEX($C$2:$F$11,I$13,0)))),1000000)</f>
        <v>1000000</v>
      </c>
      <c r="J22" s="7">
        <f>IFERROR(IF($A22=J$13,1000000,SQRT(SUMXMY2($C10:$F10,INDEX($C$2:$F$11,J$13,0)))),1000000)</f>
        <v>1000000</v>
      </c>
      <c r="K22" s="7">
        <f>IFERROR(IF($A22=K$13,1000000,SQRT(SUMXMY2($C10:$F10,INDEX($C$2:$F$11,K$13,0)))),1000000)</f>
        <v>1000000</v>
      </c>
      <c r="L22" s="9" t="e">
        <f t="shared" si="0"/>
        <v>#N/A</v>
      </c>
    </row>
    <row r="23" spans="1:12">
      <c r="A23" s="6">
        <v>10</v>
      </c>
      <c r="B23" s="7">
        <f>IFERROR(IF($A23=B$13,1000000,SQRT(SUMXMY2($C11:$F11,INDEX($C$2:$F$11,B$13,0)))),1000000)</f>
        <v>1000000</v>
      </c>
      <c r="C23" s="7">
        <f>IFERROR(IF($A23=C$13,1000000,SQRT(SUMXMY2($C11:$F11,INDEX($C$2:$F$11,C$13,0)))),1000000)</f>
        <v>1000000</v>
      </c>
      <c r="D23" s="7">
        <f>IFERROR(IF($A23=D$13,1000000,SQRT(SUMXMY2($C11:$F11,INDEX($C$2:$F$11,D$13,0)))),1000000)</f>
        <v>1000000</v>
      </c>
      <c r="E23" s="7">
        <f>IFERROR(IF($A23=E$13,1000000,SQRT(SUMXMY2($C11:$F11,INDEX($C$2:$F$11,E$13,0)))),1000000)</f>
        <v>1000000</v>
      </c>
      <c r="F23" s="7">
        <f>IFERROR(IF($A23=F$13,1000000,SQRT(SUMXMY2($C11:$F11,INDEX($C$2:$F$11,F$13,0)))),1000000)</f>
        <v>1000000</v>
      </c>
      <c r="G23" s="7">
        <f>IFERROR(IF($A23=G$13,1000000,SQRT(SUMXMY2($C11:$F11,INDEX($C$2:$F$11,G$13,0)))),1000000)</f>
        <v>1000000</v>
      </c>
      <c r="H23" s="7">
        <f>IFERROR(IF($A23=H$13,1000000,SQRT(SUMXMY2($C11:$F11,INDEX($C$2:$F$11,H$13,0)))),1000000)</f>
        <v>1000000</v>
      </c>
      <c r="I23" s="7">
        <f>IFERROR(IF($A23=I$13,1000000,SQRT(SUMXMY2($C11:$F11,INDEX($C$2:$F$11,I$13,0)))),1000000)</f>
        <v>1000000</v>
      </c>
      <c r="J23" s="7">
        <f>IFERROR(IF($A23=J$13,1000000,SQRT(SUMXMY2($C11:$F11,INDEX($C$2:$F$11,J$13,0)))),1000000)</f>
        <v>1000000</v>
      </c>
      <c r="K23" s="7">
        <f>IFERROR(IF($A23=K$13,1000000,SQRT(SUMXMY2($C11:$F11,INDEX($C$2:$F$11,K$13,0)))),1000000)</f>
        <v>1000000</v>
      </c>
      <c r="L23" s="9" t="e">
        <f t="shared" si="0"/>
        <v>#N/A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workbookViewId="0">
      <selection activeCell="E39" sqref="E39"/>
    </sheetView>
  </sheetViews>
  <sheetFormatPr defaultColWidth="9" defaultRowHeight="15"/>
  <cols>
    <col min="1" max="1" width="9" style="1"/>
    <col min="2" max="6" width="12.8571428571429" style="1"/>
    <col min="7" max="10" width="9" style="1"/>
    <col min="11" max="11" width="12.8571428571429" style="1"/>
    <col min="12" max="16384" width="9" style="1"/>
  </cols>
  <sheetData>
    <row r="1" spans="1:1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4">
        <v>1</v>
      </c>
      <c r="B2" s="1" t="s">
        <v>16</v>
      </c>
      <c r="C2" s="1">
        <v>8.77777777777778</v>
      </c>
      <c r="D2" s="1">
        <v>201.777777777778</v>
      </c>
      <c r="E2" s="1">
        <v>63.5555555555556</v>
      </c>
      <c r="F2" s="1">
        <v>28.3333333333333</v>
      </c>
      <c r="G2" s="1">
        <v>11</v>
      </c>
      <c r="H2" s="1">
        <v>1</v>
      </c>
      <c r="I2" s="1">
        <v>1</v>
      </c>
      <c r="J2" s="8">
        <v>1</v>
      </c>
      <c r="K2" s="8">
        <v>1</v>
      </c>
      <c r="L2" s="8">
        <v>1</v>
      </c>
      <c r="M2" s="8">
        <v>1</v>
      </c>
      <c r="N2" s="8">
        <v>1</v>
      </c>
      <c r="O2" s="8">
        <v>1</v>
      </c>
      <c r="P2" s="8">
        <v>1</v>
      </c>
    </row>
    <row r="3" spans="1:16">
      <c r="A3" s="4">
        <v>2</v>
      </c>
      <c r="B3" s="1" t="s">
        <v>17</v>
      </c>
      <c r="G3" s="1">
        <v>14</v>
      </c>
      <c r="H3" s="1">
        <v>1</v>
      </c>
      <c r="I3" s="1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</row>
    <row r="4" spans="1:16">
      <c r="A4" s="4">
        <v>3</v>
      </c>
      <c r="B4" s="1" t="s">
        <v>18</v>
      </c>
      <c r="G4" s="1">
        <v>18</v>
      </c>
      <c r="H4" s="1">
        <v>18</v>
      </c>
      <c r="I4" s="1">
        <v>18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</row>
    <row r="5" spans="1:16">
      <c r="A5" s="4">
        <v>4</v>
      </c>
      <c r="B5" s="1" t="s">
        <v>19</v>
      </c>
      <c r="G5" s="1">
        <v>16</v>
      </c>
      <c r="H5" s="1">
        <v>16</v>
      </c>
      <c r="I5" s="1">
        <v>16</v>
      </c>
      <c r="J5" s="8">
        <v>16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</row>
    <row r="6" spans="1:16">
      <c r="A6" s="4">
        <v>5</v>
      </c>
      <c r="B6" s="1" t="s">
        <v>20</v>
      </c>
      <c r="G6" s="1">
        <v>20</v>
      </c>
      <c r="H6" s="1">
        <v>20</v>
      </c>
      <c r="I6" s="1">
        <v>20</v>
      </c>
      <c r="J6" s="8">
        <v>20</v>
      </c>
      <c r="K6" s="8">
        <v>20</v>
      </c>
      <c r="L6" s="8">
        <v>20</v>
      </c>
      <c r="M6" s="8">
        <v>20</v>
      </c>
      <c r="N6" s="8">
        <v>1</v>
      </c>
      <c r="O6" s="8">
        <v>1</v>
      </c>
      <c r="P6" s="8">
        <v>1</v>
      </c>
    </row>
    <row r="7" spans="1:16">
      <c r="A7" s="4">
        <v>6</v>
      </c>
      <c r="B7" s="1" t="s">
        <v>21</v>
      </c>
      <c r="G7" s="1">
        <v>13</v>
      </c>
      <c r="H7" s="1">
        <v>13</v>
      </c>
      <c r="I7" s="1">
        <v>2</v>
      </c>
      <c r="J7" s="8">
        <v>2</v>
      </c>
      <c r="K7" s="8">
        <v>2</v>
      </c>
      <c r="L7" s="8">
        <v>2</v>
      </c>
      <c r="M7" s="8">
        <v>2</v>
      </c>
      <c r="N7" s="8">
        <v>2</v>
      </c>
      <c r="O7" s="8">
        <v>1</v>
      </c>
      <c r="P7" s="8">
        <v>1</v>
      </c>
    </row>
    <row r="8" spans="1:16">
      <c r="A8" s="4">
        <v>7</v>
      </c>
      <c r="B8" s="1" t="s">
        <v>22</v>
      </c>
      <c r="G8" s="1">
        <v>15</v>
      </c>
      <c r="H8" s="1">
        <v>15</v>
      </c>
      <c r="I8" s="1">
        <v>2</v>
      </c>
      <c r="J8" s="8">
        <v>2</v>
      </c>
      <c r="K8" s="8">
        <v>2</v>
      </c>
      <c r="L8" s="8">
        <v>2</v>
      </c>
      <c r="M8" s="8">
        <v>2</v>
      </c>
      <c r="N8" s="8">
        <v>2</v>
      </c>
      <c r="O8" s="8">
        <v>1</v>
      </c>
      <c r="P8" s="8">
        <v>1</v>
      </c>
    </row>
    <row r="9" spans="1:16">
      <c r="A9" s="4">
        <v>8</v>
      </c>
      <c r="B9" s="1" t="s">
        <v>23</v>
      </c>
      <c r="G9" s="1">
        <v>19</v>
      </c>
      <c r="H9" s="1">
        <v>19</v>
      </c>
      <c r="I9" s="1">
        <v>19</v>
      </c>
      <c r="J9" s="8">
        <v>19</v>
      </c>
      <c r="K9" s="8">
        <v>2</v>
      </c>
      <c r="L9" s="8">
        <v>2</v>
      </c>
      <c r="M9" s="8">
        <v>2</v>
      </c>
      <c r="N9" s="8">
        <v>2</v>
      </c>
      <c r="O9" s="8">
        <v>1</v>
      </c>
      <c r="P9" s="8">
        <v>1</v>
      </c>
    </row>
    <row r="10" spans="1:16">
      <c r="A10" s="4">
        <v>9</v>
      </c>
      <c r="B10" s="1" t="s">
        <v>24</v>
      </c>
      <c r="G10" s="1">
        <v>12</v>
      </c>
      <c r="H10" s="1">
        <v>12</v>
      </c>
      <c r="I10" s="1">
        <v>12</v>
      </c>
      <c r="J10" s="8">
        <v>12</v>
      </c>
      <c r="K10" s="8">
        <v>12</v>
      </c>
      <c r="L10" s="8">
        <v>12</v>
      </c>
      <c r="M10" s="8">
        <v>2</v>
      </c>
      <c r="N10" s="8">
        <v>2</v>
      </c>
      <c r="O10" s="8">
        <v>1</v>
      </c>
      <c r="P10" s="8">
        <v>1</v>
      </c>
    </row>
    <row r="11" spans="1:16">
      <c r="A11" s="5">
        <v>10</v>
      </c>
      <c r="B11" s="1" t="s">
        <v>25</v>
      </c>
      <c r="C11" s="1">
        <v>0</v>
      </c>
      <c r="D11" s="1">
        <v>35</v>
      </c>
      <c r="E11" s="1">
        <v>75</v>
      </c>
      <c r="F11" s="1">
        <v>7</v>
      </c>
      <c r="G11" s="1">
        <v>17</v>
      </c>
      <c r="H11" s="1">
        <v>17</v>
      </c>
      <c r="I11" s="1">
        <v>17</v>
      </c>
      <c r="J11" s="8">
        <v>17</v>
      </c>
      <c r="K11" s="8">
        <v>17</v>
      </c>
      <c r="L11" s="8">
        <v>17</v>
      </c>
      <c r="M11" s="8">
        <v>17</v>
      </c>
      <c r="N11" s="8">
        <v>17</v>
      </c>
      <c r="O11" s="8">
        <v>17</v>
      </c>
      <c r="P11" s="8">
        <v>1</v>
      </c>
    </row>
    <row r="13" spans="2:11"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</row>
    <row r="14" spans="1:17">
      <c r="A14" s="6">
        <v>1</v>
      </c>
      <c r="B14" s="7">
        <f>IFERROR(IF($A14=B$13,1000000,SQRT(SUMXMY2($C2:$F2,INDEX($C$2:$F$11,B$13,0)))),1000000)</f>
        <v>1000000</v>
      </c>
      <c r="C14" s="7">
        <f>IFERROR(IF($A14=C$13,1000000,SQRT(SUMXMY2($C2:$F2,INDEX($C$2:$F$11,C$13,0)))),1000000)</f>
        <v>1000000</v>
      </c>
      <c r="D14" s="7">
        <f>IFERROR(IF($A14=D$13,1000000,SQRT(SUMXMY2($C2:$F2,INDEX($C$2:$F$11,D$13,0)))),1000000)</f>
        <v>1000000</v>
      </c>
      <c r="E14" s="7">
        <f>IFERROR(IF($A14=E$13,1000000,SQRT(SUMXMY2($C2:$F2,INDEX($C$2:$F$11,E$13,0)))),1000000)</f>
        <v>1000000</v>
      </c>
      <c r="F14" s="7">
        <f>IFERROR(IF($A14=F$13,1000000,SQRT(SUMXMY2($C2:$F2,INDEX($C$2:$F$11,F$13,0)))),1000000)</f>
        <v>1000000</v>
      </c>
      <c r="G14" s="7">
        <f>IFERROR(IF($A14=G$13,1000000,SQRT(SUMXMY2($C2:$F2,INDEX($C$2:$F$11,G$13,0)))),1000000)</f>
        <v>1000000</v>
      </c>
      <c r="H14" s="7">
        <f>IFERROR(IF($A14=H$13,1000000,SQRT(SUMXMY2($C2:$F2,INDEX($C$2:$F$11,H$13,0)))),1000000)</f>
        <v>1000000</v>
      </c>
      <c r="I14" s="7">
        <f>IFERROR(IF($A14=I$13,1000000,SQRT(SUMXMY2($C2:$F2,INDEX($C$2:$F$11,I$13,0)))),1000000)</f>
        <v>1000000</v>
      </c>
      <c r="J14" s="7">
        <f>IFERROR(IF($A14=J$13,1000000,SQRT(SUMXMY2($C2:$F2,INDEX($C$2:$F$11,J$13,0)))),1000000)</f>
        <v>1000000</v>
      </c>
      <c r="K14" s="7">
        <f>IFERROR(IF($A14=K$13,1000000,SQRT(SUMXMY2($C2:$F2,INDEX($C$2:$F$11,K$13,0)))),1000000)</f>
        <v>168.754149468874</v>
      </c>
      <c r="L14" s="9">
        <f t="shared" ref="L14:L23" si="0">MATCH(MIN($B$14:$K$23),B14:K14,0)</f>
        <v>10</v>
      </c>
      <c r="N14" s="9">
        <f t="shared" ref="N14:Q14" si="1">SUM(C2*9,C8)/10</f>
        <v>7.9</v>
      </c>
      <c r="O14" s="9">
        <f t="shared" si="1"/>
        <v>181.6</v>
      </c>
      <c r="P14" s="9">
        <f t="shared" si="1"/>
        <v>57.2</v>
      </c>
      <c r="Q14" s="9">
        <f t="shared" si="1"/>
        <v>25.5</v>
      </c>
    </row>
    <row r="15" spans="1:17">
      <c r="A15" s="6">
        <v>2</v>
      </c>
      <c r="B15" s="7">
        <f>IFERROR(IF($A15=B$13,1000000,SQRT(SUMXMY2($C3:$F3,INDEX($C$2:$F$11,B$13,0)))),1000000)</f>
        <v>1000000</v>
      </c>
      <c r="C15" s="7">
        <f>IFERROR(IF($A15=C$13,1000000,SQRT(SUMXMY2($C3:$F3,INDEX($C$2:$F$11,C$13,0)))),1000000)</f>
        <v>1000000</v>
      </c>
      <c r="D15" s="7">
        <f>IFERROR(IF($A15=D$13,1000000,SQRT(SUMXMY2($C3:$F3,INDEX($C$2:$F$11,D$13,0)))),1000000)</f>
        <v>1000000</v>
      </c>
      <c r="E15" s="7">
        <f>IFERROR(IF($A15=E$13,1000000,SQRT(SUMXMY2($C3:$F3,INDEX($C$2:$F$11,E$13,0)))),1000000)</f>
        <v>1000000</v>
      </c>
      <c r="F15" s="7">
        <f>IFERROR(IF($A15=F$13,1000000,SQRT(SUMXMY2($C3:$F3,INDEX($C$2:$F$11,F$13,0)))),1000000)</f>
        <v>1000000</v>
      </c>
      <c r="G15" s="7">
        <f>IFERROR(IF($A15=G$13,1000000,SQRT(SUMXMY2($C3:$F3,INDEX($C$2:$F$11,G$13,0)))),1000000)</f>
        <v>1000000</v>
      </c>
      <c r="H15" s="7">
        <f>IFERROR(IF($A15=H$13,1000000,SQRT(SUMXMY2($C3:$F3,INDEX($C$2:$F$11,H$13,0)))),1000000)</f>
        <v>1000000</v>
      </c>
      <c r="I15" s="7">
        <f>IFERROR(IF($A15=I$13,1000000,SQRT(SUMXMY2($C3:$F3,INDEX($C$2:$F$11,I$13,0)))),1000000)</f>
        <v>1000000</v>
      </c>
      <c r="J15" s="7">
        <f>IFERROR(IF($A15=J$13,1000000,SQRT(SUMXMY2($C3:$F3,INDEX($C$2:$F$11,J$13,0)))),1000000)</f>
        <v>1000000</v>
      </c>
      <c r="K15" s="7">
        <f>IFERROR(IF($A15=K$13,1000000,SQRT(SUMXMY2($C3:$F3,INDEX($C$2:$F$11,K$13,0)))),1000000)</f>
        <v>1000000</v>
      </c>
      <c r="L15" s="9" t="e">
        <f t="shared" si="0"/>
        <v>#N/A</v>
      </c>
      <c r="N15" s="1">
        <v>7.9</v>
      </c>
      <c r="O15" s="1">
        <v>185.1</v>
      </c>
      <c r="P15" s="1">
        <v>64.7</v>
      </c>
      <c r="Q15" s="1">
        <v>26.2</v>
      </c>
    </row>
    <row r="16" spans="1:12">
      <c r="A16" s="6">
        <v>3</v>
      </c>
      <c r="B16" s="7">
        <f>IFERROR(IF($A16=B$13,1000000,SQRT(SUMXMY2($C4:$F4,INDEX($C$2:$F$11,B$13,0)))),1000000)</f>
        <v>1000000</v>
      </c>
      <c r="C16" s="7">
        <f>IFERROR(IF($A16=C$13,1000000,SQRT(SUMXMY2($C4:$F4,INDEX($C$2:$F$11,C$13,0)))),1000000)</f>
        <v>1000000</v>
      </c>
      <c r="D16" s="7">
        <f>IFERROR(IF($A16=D$13,1000000,SQRT(SUMXMY2($C4:$F4,INDEX($C$2:$F$11,D$13,0)))),1000000)</f>
        <v>1000000</v>
      </c>
      <c r="E16" s="7">
        <f>IFERROR(IF($A16=E$13,1000000,SQRT(SUMXMY2($C4:$F4,INDEX($C$2:$F$11,E$13,0)))),1000000)</f>
        <v>1000000</v>
      </c>
      <c r="F16" s="7">
        <f>IFERROR(IF($A16=F$13,1000000,SQRT(SUMXMY2($C4:$F4,INDEX($C$2:$F$11,F$13,0)))),1000000)</f>
        <v>1000000</v>
      </c>
      <c r="G16" s="7">
        <f>IFERROR(IF($A16=G$13,1000000,SQRT(SUMXMY2($C4:$F4,INDEX($C$2:$F$11,G$13,0)))),1000000)</f>
        <v>1000000</v>
      </c>
      <c r="H16" s="7">
        <f>IFERROR(IF($A16=H$13,1000000,SQRT(SUMXMY2($C4:$F4,INDEX($C$2:$F$11,H$13,0)))),1000000)</f>
        <v>1000000</v>
      </c>
      <c r="I16" s="7">
        <f>IFERROR(IF($A16=I$13,1000000,SQRT(SUMXMY2($C4:$F4,INDEX($C$2:$F$11,I$13,0)))),1000000)</f>
        <v>1000000</v>
      </c>
      <c r="J16" s="7">
        <f>IFERROR(IF($A16=J$13,1000000,SQRT(SUMXMY2($C4:$F4,INDEX($C$2:$F$11,J$13,0)))),1000000)</f>
        <v>1000000</v>
      </c>
      <c r="K16" s="7">
        <f>IFERROR(IF($A16=K$13,1000000,SQRT(SUMXMY2($C4:$F4,INDEX($C$2:$F$11,K$13,0)))),1000000)</f>
        <v>1000000</v>
      </c>
      <c r="L16" s="9" t="e">
        <f t="shared" si="0"/>
        <v>#N/A</v>
      </c>
    </row>
    <row r="17" spans="1:12">
      <c r="A17" s="6">
        <v>4</v>
      </c>
      <c r="B17" s="7">
        <f>IFERROR(IF($A17=B$13,1000000,SQRT(SUMXMY2($C5:$F5,INDEX($C$2:$F$11,B$13,0)))),1000000)</f>
        <v>1000000</v>
      </c>
      <c r="C17" s="7">
        <f>IFERROR(IF($A17=C$13,1000000,SQRT(SUMXMY2($C5:$F5,INDEX($C$2:$F$11,C$13,0)))),1000000)</f>
        <v>1000000</v>
      </c>
      <c r="D17" s="7">
        <f>IFERROR(IF($A17=D$13,1000000,SQRT(SUMXMY2($C5:$F5,INDEX($C$2:$F$11,D$13,0)))),1000000)</f>
        <v>1000000</v>
      </c>
      <c r="E17" s="7">
        <f>IFERROR(IF($A17=E$13,1000000,SQRT(SUMXMY2($C5:$F5,INDEX($C$2:$F$11,E$13,0)))),1000000)</f>
        <v>1000000</v>
      </c>
      <c r="F17" s="7">
        <f>IFERROR(IF($A17=F$13,1000000,SQRT(SUMXMY2($C5:$F5,INDEX($C$2:$F$11,F$13,0)))),1000000)</f>
        <v>1000000</v>
      </c>
      <c r="G17" s="7">
        <f>IFERROR(IF($A17=G$13,1000000,SQRT(SUMXMY2($C5:$F5,INDEX($C$2:$F$11,G$13,0)))),1000000)</f>
        <v>1000000</v>
      </c>
      <c r="H17" s="7">
        <f>IFERROR(IF($A17=H$13,1000000,SQRT(SUMXMY2($C5:$F5,INDEX($C$2:$F$11,H$13,0)))),1000000)</f>
        <v>1000000</v>
      </c>
      <c r="I17" s="7">
        <f>IFERROR(IF($A17=I$13,1000000,SQRT(SUMXMY2($C5:$F5,INDEX($C$2:$F$11,I$13,0)))),1000000)</f>
        <v>1000000</v>
      </c>
      <c r="J17" s="7">
        <f>IFERROR(IF($A17=J$13,1000000,SQRT(SUMXMY2($C5:$F5,INDEX($C$2:$F$11,J$13,0)))),1000000)</f>
        <v>1000000</v>
      </c>
      <c r="K17" s="7">
        <f>IFERROR(IF($A17=K$13,1000000,SQRT(SUMXMY2($C5:$F5,INDEX($C$2:$F$11,K$13,0)))),1000000)</f>
        <v>1000000</v>
      </c>
      <c r="L17" s="9" t="e">
        <f t="shared" si="0"/>
        <v>#N/A</v>
      </c>
    </row>
    <row r="18" spans="1:12">
      <c r="A18" s="6">
        <v>5</v>
      </c>
      <c r="B18" s="7">
        <f>IFERROR(IF($A18=B$13,1000000,SQRT(SUMXMY2($C6:$F6,INDEX($C$2:$F$11,B$13,0)))),1000000)</f>
        <v>1000000</v>
      </c>
      <c r="C18" s="7">
        <f>IFERROR(IF($A18=C$13,1000000,SQRT(SUMXMY2($C6:$F6,INDEX($C$2:$F$11,C$13,0)))),1000000)</f>
        <v>1000000</v>
      </c>
      <c r="D18" s="7">
        <f>IFERROR(IF($A18=D$13,1000000,SQRT(SUMXMY2($C6:$F6,INDEX($C$2:$F$11,D$13,0)))),1000000)</f>
        <v>1000000</v>
      </c>
      <c r="E18" s="7">
        <f>IFERROR(IF($A18=E$13,1000000,SQRT(SUMXMY2($C6:$F6,INDEX($C$2:$F$11,E$13,0)))),1000000)</f>
        <v>1000000</v>
      </c>
      <c r="F18" s="7">
        <f>IFERROR(IF($A18=F$13,1000000,SQRT(SUMXMY2($C6:$F6,INDEX($C$2:$F$11,F$13,0)))),1000000)</f>
        <v>1000000</v>
      </c>
      <c r="G18" s="7">
        <f>IFERROR(IF($A18=G$13,1000000,SQRT(SUMXMY2($C6:$F6,INDEX($C$2:$F$11,G$13,0)))),1000000)</f>
        <v>1000000</v>
      </c>
      <c r="H18" s="7">
        <f>IFERROR(IF($A18=H$13,1000000,SQRT(SUMXMY2($C6:$F6,INDEX($C$2:$F$11,H$13,0)))),1000000)</f>
        <v>1000000</v>
      </c>
      <c r="I18" s="7">
        <f>IFERROR(IF($A18=I$13,1000000,SQRT(SUMXMY2($C6:$F6,INDEX($C$2:$F$11,I$13,0)))),1000000)</f>
        <v>1000000</v>
      </c>
      <c r="J18" s="7">
        <f>IFERROR(IF($A18=J$13,1000000,SQRT(SUMXMY2($C6:$F6,INDEX($C$2:$F$11,J$13,0)))),1000000)</f>
        <v>1000000</v>
      </c>
      <c r="K18" s="7">
        <f>IFERROR(IF($A18=K$13,1000000,SQRT(SUMXMY2($C6:$F6,INDEX($C$2:$F$11,K$13,0)))),1000000)</f>
        <v>1000000</v>
      </c>
      <c r="L18" s="9" t="e">
        <f t="shared" si="0"/>
        <v>#N/A</v>
      </c>
    </row>
    <row r="19" spans="1:12">
      <c r="A19" s="6">
        <v>6</v>
      </c>
      <c r="B19" s="7">
        <f>IFERROR(IF($A19=B$13,1000000,SQRT(SUMXMY2($C7:$F7,INDEX($C$2:$F$11,B$13,0)))),1000000)</f>
        <v>1000000</v>
      </c>
      <c r="C19" s="7">
        <f>IFERROR(IF($A19=C$13,1000000,SQRT(SUMXMY2($C7:$F7,INDEX($C$2:$F$11,C$13,0)))),1000000)</f>
        <v>1000000</v>
      </c>
      <c r="D19" s="7">
        <f>IFERROR(IF($A19=D$13,1000000,SQRT(SUMXMY2($C7:$F7,INDEX($C$2:$F$11,D$13,0)))),1000000)</f>
        <v>1000000</v>
      </c>
      <c r="E19" s="7">
        <f>IFERROR(IF($A19=E$13,1000000,SQRT(SUMXMY2($C7:$F7,INDEX($C$2:$F$11,E$13,0)))),1000000)</f>
        <v>1000000</v>
      </c>
      <c r="F19" s="7">
        <f>IFERROR(IF($A19=F$13,1000000,SQRT(SUMXMY2($C7:$F7,INDEX($C$2:$F$11,F$13,0)))),1000000)</f>
        <v>1000000</v>
      </c>
      <c r="G19" s="7">
        <f>IFERROR(IF($A19=G$13,1000000,SQRT(SUMXMY2($C7:$F7,INDEX($C$2:$F$11,G$13,0)))),1000000)</f>
        <v>1000000</v>
      </c>
      <c r="H19" s="7">
        <f>IFERROR(IF($A19=H$13,1000000,SQRT(SUMXMY2($C7:$F7,INDEX($C$2:$F$11,H$13,0)))),1000000)</f>
        <v>1000000</v>
      </c>
      <c r="I19" s="7">
        <f>IFERROR(IF($A19=I$13,1000000,SQRT(SUMXMY2($C7:$F7,INDEX($C$2:$F$11,I$13,0)))),1000000)</f>
        <v>1000000</v>
      </c>
      <c r="J19" s="7">
        <f>IFERROR(IF($A19=J$13,1000000,SQRT(SUMXMY2($C7:$F7,INDEX($C$2:$F$11,J$13,0)))),1000000)</f>
        <v>1000000</v>
      </c>
      <c r="K19" s="7">
        <f>IFERROR(IF($A19=K$13,1000000,SQRT(SUMXMY2($C7:$F7,INDEX($C$2:$F$11,K$13,0)))),1000000)</f>
        <v>1000000</v>
      </c>
      <c r="L19" s="9" t="e">
        <f t="shared" si="0"/>
        <v>#N/A</v>
      </c>
    </row>
    <row r="20" spans="1:12">
      <c r="A20" s="6">
        <v>7</v>
      </c>
      <c r="B20" s="7">
        <f>IFERROR(IF($A20=B$13,1000000,SQRT(SUMXMY2($C8:$F8,INDEX($C$2:$F$11,B$13,0)))),1000000)</f>
        <v>1000000</v>
      </c>
      <c r="C20" s="7">
        <f>IFERROR(IF($A20=C$13,1000000,SQRT(SUMXMY2($C8:$F8,INDEX($C$2:$F$11,C$13,0)))),1000000)</f>
        <v>1000000</v>
      </c>
      <c r="D20" s="7">
        <f>IFERROR(IF($A20=D$13,1000000,SQRT(SUMXMY2($C8:$F8,INDEX($C$2:$F$11,D$13,0)))),1000000)</f>
        <v>1000000</v>
      </c>
      <c r="E20" s="7">
        <f>IFERROR(IF($A20=E$13,1000000,SQRT(SUMXMY2($C8:$F8,INDEX($C$2:$F$11,E$13,0)))),1000000)</f>
        <v>1000000</v>
      </c>
      <c r="F20" s="7">
        <f>IFERROR(IF($A20=F$13,1000000,SQRT(SUMXMY2($C8:$F8,INDEX($C$2:$F$11,F$13,0)))),1000000)</f>
        <v>1000000</v>
      </c>
      <c r="G20" s="7">
        <f>IFERROR(IF($A20=G$13,1000000,SQRT(SUMXMY2($C8:$F8,INDEX($C$2:$F$11,G$13,0)))),1000000)</f>
        <v>1000000</v>
      </c>
      <c r="H20" s="7">
        <f>IFERROR(IF($A20=H$13,1000000,SQRT(SUMXMY2($C8:$F8,INDEX($C$2:$F$11,H$13,0)))),1000000)</f>
        <v>1000000</v>
      </c>
      <c r="I20" s="7">
        <f>IFERROR(IF($A20=I$13,1000000,SQRT(SUMXMY2($C8:$F8,INDEX($C$2:$F$11,I$13,0)))),1000000)</f>
        <v>1000000</v>
      </c>
      <c r="J20" s="7">
        <f>IFERROR(IF($A20=J$13,1000000,SQRT(SUMXMY2($C8:$F8,INDEX($C$2:$F$11,J$13,0)))),1000000)</f>
        <v>1000000</v>
      </c>
      <c r="K20" s="7">
        <f>IFERROR(IF($A20=K$13,1000000,SQRT(SUMXMY2($C8:$F8,INDEX($C$2:$F$11,K$13,0)))),1000000)</f>
        <v>1000000</v>
      </c>
      <c r="L20" s="9" t="e">
        <f t="shared" si="0"/>
        <v>#N/A</v>
      </c>
    </row>
    <row r="21" spans="1:12">
      <c r="A21" s="6">
        <v>8</v>
      </c>
      <c r="B21" s="7">
        <f>IFERROR(IF($A21=B$13,1000000,SQRT(SUMXMY2($C9:$F9,INDEX($C$2:$F$11,B$13,0)))),1000000)</f>
        <v>1000000</v>
      </c>
      <c r="C21" s="7">
        <f>IFERROR(IF($A21=C$13,1000000,SQRT(SUMXMY2($C9:$F9,INDEX($C$2:$F$11,C$13,0)))),1000000)</f>
        <v>1000000</v>
      </c>
      <c r="D21" s="7">
        <f>IFERROR(IF($A21=D$13,1000000,SQRT(SUMXMY2($C9:$F9,INDEX($C$2:$F$11,D$13,0)))),1000000)</f>
        <v>1000000</v>
      </c>
      <c r="E21" s="7">
        <f>IFERROR(IF($A21=E$13,1000000,SQRT(SUMXMY2($C9:$F9,INDEX($C$2:$F$11,E$13,0)))),1000000)</f>
        <v>1000000</v>
      </c>
      <c r="F21" s="7">
        <f>IFERROR(IF($A21=F$13,1000000,SQRT(SUMXMY2($C9:$F9,INDEX($C$2:$F$11,F$13,0)))),1000000)</f>
        <v>1000000</v>
      </c>
      <c r="G21" s="7">
        <f>IFERROR(IF($A21=G$13,1000000,SQRT(SUMXMY2($C9:$F9,INDEX($C$2:$F$11,G$13,0)))),1000000)</f>
        <v>1000000</v>
      </c>
      <c r="H21" s="7">
        <f>IFERROR(IF($A21=H$13,1000000,SQRT(SUMXMY2($C9:$F9,INDEX($C$2:$F$11,H$13,0)))),1000000)</f>
        <v>1000000</v>
      </c>
      <c r="I21" s="7">
        <f>IFERROR(IF($A21=I$13,1000000,SQRT(SUMXMY2($C9:$F9,INDEX($C$2:$F$11,I$13,0)))),1000000)</f>
        <v>1000000</v>
      </c>
      <c r="J21" s="7">
        <f>IFERROR(IF($A21=J$13,1000000,SQRT(SUMXMY2($C9:$F9,INDEX($C$2:$F$11,J$13,0)))),1000000)</f>
        <v>1000000</v>
      </c>
      <c r="K21" s="7">
        <f>IFERROR(IF($A21=K$13,1000000,SQRT(SUMXMY2($C9:$F9,INDEX($C$2:$F$11,K$13,0)))),1000000)</f>
        <v>1000000</v>
      </c>
      <c r="L21" s="9" t="e">
        <f t="shared" si="0"/>
        <v>#N/A</v>
      </c>
    </row>
    <row r="22" spans="1:12">
      <c r="A22" s="6">
        <v>9</v>
      </c>
      <c r="B22" s="7">
        <f>IFERROR(IF($A22=B$13,1000000,SQRT(SUMXMY2($C10:$F10,INDEX($C$2:$F$11,B$13,0)))),1000000)</f>
        <v>1000000</v>
      </c>
      <c r="C22" s="7">
        <f>IFERROR(IF($A22=C$13,1000000,SQRT(SUMXMY2($C10:$F10,INDEX($C$2:$F$11,C$13,0)))),1000000)</f>
        <v>1000000</v>
      </c>
      <c r="D22" s="7">
        <f>IFERROR(IF($A22=D$13,1000000,SQRT(SUMXMY2($C10:$F10,INDEX($C$2:$F$11,D$13,0)))),1000000)</f>
        <v>1000000</v>
      </c>
      <c r="E22" s="7">
        <f>IFERROR(IF($A22=E$13,1000000,SQRT(SUMXMY2($C10:$F10,INDEX($C$2:$F$11,E$13,0)))),1000000)</f>
        <v>1000000</v>
      </c>
      <c r="F22" s="7">
        <f>IFERROR(IF($A22=F$13,1000000,SQRT(SUMXMY2($C10:$F10,INDEX($C$2:$F$11,F$13,0)))),1000000)</f>
        <v>1000000</v>
      </c>
      <c r="G22" s="7">
        <f>IFERROR(IF($A22=G$13,1000000,SQRT(SUMXMY2($C10:$F10,INDEX($C$2:$F$11,G$13,0)))),1000000)</f>
        <v>1000000</v>
      </c>
      <c r="H22" s="7">
        <f>IFERROR(IF($A22=H$13,1000000,SQRT(SUMXMY2($C10:$F10,INDEX($C$2:$F$11,H$13,0)))),1000000)</f>
        <v>1000000</v>
      </c>
      <c r="I22" s="7">
        <f>IFERROR(IF($A22=I$13,1000000,SQRT(SUMXMY2($C10:$F10,INDEX($C$2:$F$11,I$13,0)))),1000000)</f>
        <v>1000000</v>
      </c>
      <c r="J22" s="7">
        <f>IFERROR(IF($A22=J$13,1000000,SQRT(SUMXMY2($C10:$F10,INDEX($C$2:$F$11,J$13,0)))),1000000)</f>
        <v>1000000</v>
      </c>
      <c r="K22" s="7">
        <f>IFERROR(IF($A22=K$13,1000000,SQRT(SUMXMY2($C10:$F10,INDEX($C$2:$F$11,K$13,0)))),1000000)</f>
        <v>1000000</v>
      </c>
      <c r="L22" s="9" t="e">
        <f t="shared" si="0"/>
        <v>#N/A</v>
      </c>
    </row>
    <row r="23" spans="1:12">
      <c r="A23" s="6">
        <v>10</v>
      </c>
      <c r="B23" s="7">
        <f>IFERROR(IF($A23=B$13,1000000,SQRT(SUMXMY2($C11:$F11,INDEX($C$2:$F$11,B$13,0)))),1000000)</f>
        <v>168.754149468874</v>
      </c>
      <c r="C23" s="7">
        <f>IFERROR(IF($A23=C$13,1000000,SQRT(SUMXMY2($C11:$F11,INDEX($C$2:$F$11,C$13,0)))),1000000)</f>
        <v>1000000</v>
      </c>
      <c r="D23" s="7">
        <f>IFERROR(IF($A23=D$13,1000000,SQRT(SUMXMY2($C11:$F11,INDEX($C$2:$F$11,D$13,0)))),1000000)</f>
        <v>1000000</v>
      </c>
      <c r="E23" s="7">
        <f>IFERROR(IF($A23=E$13,1000000,SQRT(SUMXMY2($C11:$F11,INDEX($C$2:$F$11,E$13,0)))),1000000)</f>
        <v>1000000</v>
      </c>
      <c r="F23" s="7">
        <f>IFERROR(IF($A23=F$13,1000000,SQRT(SUMXMY2($C11:$F11,INDEX($C$2:$F$11,F$13,0)))),1000000)</f>
        <v>1000000</v>
      </c>
      <c r="G23" s="7">
        <f>IFERROR(IF($A23=G$13,1000000,SQRT(SUMXMY2($C11:$F11,INDEX($C$2:$F$11,G$13,0)))),1000000)</f>
        <v>1000000</v>
      </c>
      <c r="H23" s="7">
        <f>IFERROR(IF($A23=H$13,1000000,SQRT(SUMXMY2($C11:$F11,INDEX($C$2:$F$11,H$13,0)))),1000000)</f>
        <v>1000000</v>
      </c>
      <c r="I23" s="7">
        <f>IFERROR(IF($A23=I$13,1000000,SQRT(SUMXMY2($C11:$F11,INDEX($C$2:$F$11,I$13,0)))),1000000)</f>
        <v>1000000</v>
      </c>
      <c r="J23" s="7">
        <f>IFERROR(IF($A23=J$13,1000000,SQRT(SUMXMY2($C11:$F11,INDEX($C$2:$F$11,J$13,0)))),1000000)</f>
        <v>1000000</v>
      </c>
      <c r="K23" s="7">
        <f>IFERROR(IF($A23=K$13,1000000,SQRT(SUMXMY2($C11:$F11,INDEX($C$2:$F$11,K$13,0)))),1000000)</f>
        <v>1000000</v>
      </c>
      <c r="L23" s="9">
        <f t="shared" si="0"/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Hierarchical Clustering</vt:lpstr>
      <vt:lpstr>Dendrogram</vt:lpstr>
      <vt:lpstr>Step-1</vt:lpstr>
      <vt:lpstr>Step-2</vt:lpstr>
      <vt:lpstr>Step-3</vt:lpstr>
      <vt:lpstr>Step-4</vt:lpstr>
      <vt:lpstr>Step-5</vt:lpstr>
      <vt:lpstr>Step-6</vt:lpstr>
      <vt:lpstr>Step-7</vt:lpstr>
      <vt:lpstr>Step-8</vt:lpstr>
      <vt:lpstr>Step-9</vt:lpstr>
      <vt:lpstr>Step-10</vt:lpstr>
      <vt:lpstr>Sorted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Sói</cp:lastModifiedBy>
  <dcterms:created xsi:type="dcterms:W3CDTF">2019-10-16T22:27:00Z</dcterms:created>
  <dcterms:modified xsi:type="dcterms:W3CDTF">2025-12-08T00:58:25Z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16B04ED04A6D4C2492374BA0386A6F57_12</vt:lpwstr>
  </property>
  <property fmtid="{D5CDD505-2E9C-101B-9397-08002B2CF9AE}" pid="3" name="KSOProductBuildVer">
    <vt:lpwstr>1033-12.2.0.23155</vt:lpwstr>
  </property>
</Properties>
</file>